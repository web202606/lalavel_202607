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ThisWorkbook"/>
  <xr:revisionPtr revIDLastSave="135" documentId="13_ncr:1_{D6A977A9-1E90-4C05-8D6E-2337E28B3657}" xr6:coauthVersionLast="47" xr6:coauthVersionMax="47" xr10:uidLastSave="{198A76D5-A165-49F1-8BD2-E43352536455}"/>
  <bookViews>
    <workbookView xWindow="-108" yWindow="-108" windowWidth="23256" windowHeight="12456" xr2:uid="{00000000-000D-0000-FFFF-FFFF00000000}"/>
  </bookViews>
  <sheets>
    <sheet name="プロジェクトのスケジュール" sheetId="11" r:id="rId1"/>
    <sheet name="詳細情報" sheetId="12" r:id="rId2"/>
  </sheets>
  <definedNames>
    <definedName name="_xlnm.Print_Titles" localSheetId="0">プロジェクトのスケジュール!$4:$6</definedName>
    <definedName name="タスク_開始" localSheetId="0">プロジェクトのスケジュール!$E1</definedName>
    <definedName name="タスク_終了" localSheetId="0">プロジェクトのスケジュール!$F1</definedName>
    <definedName name="タスク_進捗状況" localSheetId="0">プロジェクトのスケジュール!$D1</definedName>
    <definedName name="プロジェクト_開始">プロジェクトのスケジュール!$E$3</definedName>
    <definedName name="今日" localSheetId="0">TODAY()</definedName>
    <definedName name="週_表示">プロジェクトのスケジュール!$E$4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 i="11" l="1"/>
  <c r="F15" i="11"/>
  <c r="F9" i="11"/>
  <c r="F10" i="11"/>
  <c r="F12" i="11"/>
  <c r="F13" i="11"/>
  <c r="H35" i="11"/>
  <c r="H34" i="11"/>
  <c r="H33" i="11"/>
  <c r="H32" i="11"/>
  <c r="H30" i="11"/>
  <c r="H29" i="11"/>
  <c r="H7" i="11"/>
  <c r="E3" i="11" l="1"/>
  <c r="I5" i="11" l="1"/>
  <c r="I6" i="11" s="1"/>
  <c r="H37" i="11"/>
  <c r="H36" i="11"/>
  <c r="H25" i="11"/>
  <c r="H14" i="11"/>
  <c r="H8" i="11"/>
  <c r="H10" i="11" l="1"/>
  <c r="H11" i="11"/>
  <c r="H15" i="11"/>
  <c r="J5" i="11"/>
  <c r="I4" i="11"/>
  <c r="H13" i="11" l="1"/>
  <c r="K5" i="11"/>
  <c r="J6" i="11"/>
  <c r="H12" i="11" l="1"/>
  <c r="L5" i="11"/>
  <c r="K6" i="11"/>
  <c r="M5" i="11" l="1"/>
  <c r="L6" i="11"/>
  <c r="N5" i="11" l="1"/>
  <c r="M6" i="11"/>
  <c r="O5" i="11" l="1"/>
  <c r="N6" i="11"/>
  <c r="P5" i="11" l="1"/>
  <c r="O6" i="11"/>
  <c r="P6" i="11" l="1"/>
  <c r="Q5" i="11"/>
  <c r="P4" i="11"/>
  <c r="R5" i="11" l="1"/>
  <c r="Q6" i="11"/>
  <c r="S5" i="11" l="1"/>
  <c r="R6" i="11"/>
  <c r="T5" i="11" l="1"/>
  <c r="S6" i="11"/>
  <c r="U5" i="11" l="1"/>
  <c r="T6" i="11"/>
  <c r="V5" i="11" l="1"/>
  <c r="U6" i="11"/>
  <c r="W5" i="11" l="1"/>
  <c r="V6" i="11"/>
  <c r="W6" i="11" l="1"/>
  <c r="W4" i="11"/>
  <c r="X5" i="11"/>
  <c r="Y5" i="11" l="1"/>
  <c r="X6" i="11"/>
  <c r="Z5" i="11" l="1"/>
  <c r="Y6" i="11"/>
  <c r="AA5" i="11" l="1"/>
  <c r="Z6" i="11"/>
  <c r="AB5" i="11" l="1"/>
  <c r="AA6" i="11"/>
  <c r="AC5" i="11" l="1"/>
  <c r="AB6" i="11"/>
  <c r="AD5" i="11" l="1"/>
  <c r="AC6" i="11"/>
  <c r="AD6" i="11" l="1"/>
  <c r="AE5" i="11"/>
  <c r="AD4" i="11"/>
  <c r="AF5" i="11" l="1"/>
  <c r="AE6" i="11"/>
  <c r="AG5" i="11" l="1"/>
  <c r="AF6" i="11"/>
  <c r="AH5" i="11" l="1"/>
  <c r="AG6" i="11"/>
  <c r="AI5" i="11" l="1"/>
  <c r="AH6" i="11"/>
  <c r="AJ5" i="11" l="1"/>
  <c r="AI6" i="11"/>
  <c r="AJ6" i="11" l="1"/>
  <c r="AK5" i="11"/>
  <c r="AL5" i="11" l="1"/>
  <c r="AK6" i="11"/>
  <c r="AK4" i="11"/>
  <c r="AM5" i="11" l="1"/>
  <c r="AL6" i="11"/>
  <c r="AN5" i="11" l="1"/>
  <c r="AM6" i="11"/>
  <c r="AO5" i="11" l="1"/>
  <c r="AN6" i="11"/>
  <c r="AP5" i="11" l="1"/>
  <c r="AO6" i="11"/>
  <c r="AQ5" i="11" l="1"/>
  <c r="AP6" i="11"/>
  <c r="AQ6" i="11" l="1"/>
  <c r="AR5" i="11"/>
  <c r="AS5" i="11" l="1"/>
  <c r="AR6" i="11"/>
  <c r="AR4" i="11"/>
  <c r="AS6" i="11" l="1"/>
  <c r="AT5" i="11"/>
  <c r="AT6" i="11" l="1"/>
  <c r="AU5" i="11"/>
  <c r="AU6" i="11" l="1"/>
  <c r="AV5" i="11"/>
  <c r="AV6" i="11" l="1"/>
  <c r="AW5" i="11"/>
  <c r="AW6" i="11" l="1"/>
  <c r="AX5" i="11"/>
  <c r="AY5" i="11" l="1"/>
  <c r="AX6" i="11"/>
  <c r="AY6" i="11" l="1"/>
  <c r="AZ5" i="11"/>
  <c r="AY4" i="11"/>
  <c r="AZ6" i="11" l="1"/>
  <c r="BA5" i="11"/>
  <c r="BA6" i="11" l="1"/>
  <c r="BB5" i="11"/>
  <c r="BB6" i="11" l="1"/>
  <c r="BC5" i="11"/>
  <c r="BC6" i="11" l="1"/>
  <c r="BD5" i="11"/>
  <c r="BD6" i="11" l="1"/>
  <c r="BE5" i="11"/>
  <c r="BE6" i="11" l="1"/>
  <c r="BF5" i="11"/>
  <c r="BF6" i="11" l="1"/>
  <c r="BG5" i="11"/>
  <c r="BF4" i="11"/>
  <c r="BG6" i="11" l="1"/>
  <c r="BH5" i="11"/>
  <c r="BH6" i="11" l="1"/>
  <c r="BI5" i="11"/>
  <c r="BI6" i="11" l="1"/>
  <c r="BJ5" i="11"/>
  <c r="BJ6" i="11" l="1"/>
  <c r="BK5" i="11"/>
  <c r="BK6" i="11" l="1"/>
  <c r="BL5" i="11"/>
  <c r="BL6" i="11" s="1"/>
</calcChain>
</file>

<file path=xl/sharedStrings.xml><?xml version="1.0" encoding="utf-8"?>
<sst xmlns="http://schemas.openxmlformats.org/spreadsheetml/2006/main" count="68" uniqueCount="64">
  <si>
    <t>このワークシートでプロジェクトのスケジュール​​を作成します。
セル B1 には、このプロジェクトのタイトルを入力します。
このワークシートの使用方法に関する情報 (スクリーン リーダーの説明やブックの作成者など) は、"詳細情報" ワークシートに入ります。
列 A を下方に移動し続けると、さらに多くの情報を確認できます。</t>
  </si>
  <si>
    <t>セル B2 には会社の名前を入力します。</t>
  </si>
  <si>
    <t>セル B3 に、プロジェクト主任の名前を入力します。セル E3 には、プロジェクトの開始日を入力します。プロジェクトの開始: ラベルはセル C3 にあります。</t>
  </si>
  <si>
    <t>セル E4 の週表示は、セル I4 のプロジェクトのスケジュールに表示する開始週を表します。プロジェクトの開始日は、第 1 週と見なされます。週表示を変更するには、セル E4 に新しい週番号を入力します。
セル E4 の週表示から始まる各週の開始日は、セル I4 から始まり、自動計算されます。このビューには、セル I4 からセル BF4 までの 8 週間が表示されます。
これらのセルは変更しないでください。
週表示: ラベルはセル C4 にあります。</t>
  </si>
  <si>
    <t>セル I5 から BL5 には、各日付のセルの上にあるセル ブロック内に表示される週の日付の数字が含まれており、自動的に計算が行われます。
これらのセルは変更しないでください。
今日の日付は、行 5 の今日の日付からプロジェクト スケジュールの最後まで日付列全体が赤 (16 進値 #AD3815) で囲まれます。</t>
  </si>
  <si>
    <t>この行には、その下に続くプロジェクトのスケジュールの見出しが含まれます。
コンテンツを読み上げるには、B6 から BL 6 に移動します。その見出しの上にある日付の各曜日の最初の文字が、セル I6 から始まってセル BL6 まで続きます。
すべてのプロジェクトのタイムライン グラフは、条件付き書式を使用して、入力された開始日と終了日に基づいて自動生成されます。
セル I7 から始まる列 I 以降の列のセルの内容を変更しないでください。</t>
  </si>
  <si>
    <t xml:space="preserve">この行は削除しないでください。この行は、プロジェクトのスケジュール内にある現在の日付を強調表示するために使用されている数式を保持するために非表示になっています。 </t>
  </si>
  <si>
    <t>サンプル フェーズ タイトル ブロック</t>
  </si>
  <si>
    <t>これは空の行です</t>
  </si>
  <si>
    <t>この行は、プロジェクトのスケジュールの終了を表します。この行には何も入力しないでください。
この行の上に新しい行を挿入して、プロジェクトのスケジュールの作成を続けます。</t>
  </si>
  <si>
    <t>タスク</t>
  </si>
  <si>
    <t>プロジェクトの開始:</t>
  </si>
  <si>
    <t>週表示:</t>
  </si>
  <si>
    <t>担当
者</t>
  </si>
  <si>
    <t>進捗状況</t>
  </si>
  <si>
    <t>開始</t>
  </si>
  <si>
    <t>終了</t>
  </si>
  <si>
    <t>日数</t>
  </si>
  <si>
    <t>シンプル ガント チャート (Vertex42.com)</t>
  </si>
  <si>
    <t>https://www.vertex42.com/ExcelTemplates/simple-gantt-chart.html</t>
  </si>
  <si>
    <t>このテンプレートについて</t>
  </si>
  <si>
    <t>このテンプレートを使用すると、プロジェクトの視覚化と管理に役立つガント チャートを簡単な方法で作成できます。タスクと開始日、終了日を入力するだけです。数式の入力は必要はありません。ガント チャートのバーは、タスクの期間を表し、条件付き書式を使用して表示されます。新しいタスクを挿入するには、新しい行を挿入します。</t>
  </si>
  <si>
    <t>スクリーン リーダーのガイド</t>
  </si>
  <si>
    <t>このブックには 2 つのワークシートがあります。
TimeSheet
詳細情報
各ワークシートの説明は、各ワークシートの A 列のセル A1 から始まります。非表示のテキストで書き込まれます。各手順では、その行に含まれる情報について説明しています。明示的な指示がない限り、後続の各手順はセル A2、セル A3 といった順に格納されています。たとえば、説明テキストに、次の手順について "セル A6 に続く" と記載されている場合があります。
この非表示のテキストは印刷されません。
ワークシートからこれらの説明を削除する場合は、A 列を削除するだけです。</t>
  </si>
  <si>
    <t>その他のヘルプ</t>
  </si>
  <si>
    <t>以下のリンクから Vertex42.com にアクセスし、このテンプレートの使用方法を詳しく学びます。たとえば、日数と稼働日の計算、タスクの依存関係を作成する、バーの色の変更、週表示を簡単に変更するためのスクロール バーを追加する方法、グラフに表示される日付範囲の拡大方法など。</t>
  </si>
  <si>
    <t>シンプル ガント チャートの使用方法</t>
  </si>
  <si>
    <t>その他のプロジェクト管理テンプレート</t>
  </si>
  <si>
    <t>Vertex42.com にアクセスして、さまざまな種類のプロジェクト スケジュール、ガント チャート、タスク リストなどのその他のプロジェクト管理テンプレートをダウンロードしてください。</t>
  </si>
  <si>
    <t>プロジェクト管理テンプレート</t>
  </si>
  <si>
    <t>Vertex42 について</t>
  </si>
  <si>
    <t>Vertex42.com では、企業、家庭、教育用に 300 を超える本格的なデザインのスプレッドシート テンプレートを提供しています。この大部分は無料でダウンロードすることができます。Vertex42.com のコレクションには、各種のカレンダー、プランナー、スケジュールに加えて、予算作成、債務削減、ローン返済用の個人の財務に関するスプレッドシートも含まれています。</t>
  </si>
  <si>
    <t>企業向けには、請求書、タイム シート、在庫管理、財務諸表、プロジェクト計画策定テンプレートがあります。学生と教師向けには、授業計画表、成績表、出席簿などのリソースがあります。献立表、チェックリスト、運動記録を使用して家族の生活を整理しましょう。各テンプレートは、数千のユーザーからのフィードバックを基に時間をかけて十分に研究、調整、改良されたものです。</t>
  </si>
  <si>
    <t>自作するサービス名</t>
    <rPh sb="0" eb="2">
      <t>ジサク</t>
    </rPh>
    <phoneticPr fontId="37"/>
  </si>
  <si>
    <t>設計</t>
    <rPh sb="0" eb="2">
      <t>セッケイ</t>
    </rPh>
    <phoneticPr fontId="37"/>
  </si>
  <si>
    <t>製造・テスト</t>
    <rPh sb="0" eb="2">
      <t>セイゾウ</t>
    </rPh>
    <phoneticPr fontId="37"/>
  </si>
  <si>
    <t>この行の上に新しい行を挿入する</t>
    <phoneticPr fontId="37"/>
  </si>
  <si>
    <t>画面遷移図作成</t>
    <rPh sb="0" eb="5">
      <t>ガメn</t>
    </rPh>
    <phoneticPr fontId="37"/>
  </si>
  <si>
    <t>画面仕様書作成</t>
    <rPh sb="0" eb="1">
      <t>ガメn</t>
    </rPh>
    <rPh sb="4" eb="5">
      <t>sh</t>
    </rPh>
    <phoneticPr fontId="37"/>
  </si>
  <si>
    <t>テーブル定義書作成</t>
    <rPh sb="7" eb="9">
      <t>サクセイ</t>
    </rPh>
    <phoneticPr fontId="37"/>
  </si>
  <si>
    <t>製造</t>
    <rPh sb="0" eb="1">
      <t>セイゾウ</t>
    </rPh>
    <phoneticPr fontId="37"/>
  </si>
  <si>
    <t>ER図作成</t>
    <rPh sb="2" eb="3">
      <t>ズ</t>
    </rPh>
    <rPh sb="3" eb="5">
      <t>サクセイ</t>
    </rPh>
    <phoneticPr fontId="37"/>
  </si>
  <si>
    <t>新規登録</t>
    <rPh sb="0" eb="4">
      <t>シンキトウロク</t>
    </rPh>
    <phoneticPr fontId="37"/>
  </si>
  <si>
    <t>編集・削除</t>
    <rPh sb="0" eb="2">
      <t>ヘンシュウ</t>
    </rPh>
    <rPh sb="3" eb="5">
      <t>サクジョ</t>
    </rPh>
    <phoneticPr fontId="37"/>
  </si>
  <si>
    <t>ログイン機能</t>
    <rPh sb="4" eb="6">
      <t>キノウ</t>
    </rPh>
    <phoneticPr fontId="37"/>
  </si>
  <si>
    <t>パスワードリセット</t>
    <phoneticPr fontId="37"/>
  </si>
  <si>
    <t>無限スクロール</t>
    <rPh sb="0" eb="2">
      <t>ムゲン</t>
    </rPh>
    <phoneticPr fontId="37"/>
  </si>
  <si>
    <t>管理者機能</t>
    <rPh sb="0" eb="5">
      <t>カンリシャキノウ</t>
    </rPh>
    <phoneticPr fontId="37"/>
  </si>
  <si>
    <t>権限分け</t>
    <rPh sb="0" eb="3">
      <t>ケンゲンワ</t>
    </rPh>
    <phoneticPr fontId="37"/>
  </si>
  <si>
    <t>　　テスト</t>
    <phoneticPr fontId="37"/>
  </si>
  <si>
    <t>機能チェック</t>
    <rPh sb="0" eb="2">
      <t>キノウ</t>
    </rPh>
    <phoneticPr fontId="37"/>
  </si>
  <si>
    <t>講師チェック・資料作成</t>
    <rPh sb="0" eb="2">
      <t>コウシ</t>
    </rPh>
    <rPh sb="7" eb="11">
      <t>シリョウサクセイ</t>
    </rPh>
    <phoneticPr fontId="37"/>
  </si>
  <si>
    <t>岡田純也</t>
    <rPh sb="0" eb="4">
      <t>オカダジュンヤ</t>
    </rPh>
    <phoneticPr fontId="37"/>
  </si>
  <si>
    <t>要件定義書</t>
    <rPh sb="0" eb="2">
      <t>ヨウケン</t>
    </rPh>
    <rPh sb="2" eb="5">
      <t>テイギショ</t>
    </rPh>
    <phoneticPr fontId="37"/>
  </si>
  <si>
    <t>登録・表示機能</t>
    <rPh sb="0" eb="2">
      <t>トウロク</t>
    </rPh>
    <rPh sb="3" eb="5">
      <t>ヒョウジ</t>
    </rPh>
    <rPh sb="5" eb="7">
      <t>キノウ</t>
    </rPh>
    <phoneticPr fontId="37"/>
  </si>
  <si>
    <t>スキル履歴検索</t>
    <rPh sb="3" eb="5">
      <t>リレキ</t>
    </rPh>
    <rPh sb="5" eb="7">
      <t>ケンサク</t>
    </rPh>
    <phoneticPr fontId="37"/>
  </si>
  <si>
    <t>ユーザ検索</t>
    <phoneticPr fontId="37"/>
  </si>
  <si>
    <t>CRUD(ユーザ削除)</t>
    <rPh sb="8" eb="10">
      <t>サクジョ</t>
    </rPh>
    <phoneticPr fontId="37"/>
  </si>
  <si>
    <t>CRUD(スキル登録)</t>
    <rPh sb="8" eb="10">
      <t>トウロク</t>
    </rPh>
    <phoneticPr fontId="37"/>
  </si>
  <si>
    <t>CRUD(スキル削除)</t>
    <rPh sb="8" eb="10">
      <t>サクジョ</t>
    </rPh>
    <phoneticPr fontId="37"/>
  </si>
  <si>
    <t>CRUD(スキル更新)</t>
    <rPh sb="8" eb="10">
      <t>コウシン</t>
    </rPh>
    <phoneticPr fontId="37"/>
  </si>
  <si>
    <t>CRUD(スキル表示)</t>
    <rPh sb="8" eb="10">
      <t>ヒョウジ</t>
    </rPh>
    <phoneticPr fontId="37"/>
  </si>
  <si>
    <t>共通機能</t>
    <rPh sb="0" eb="2">
      <t>キョウツウ</t>
    </rPh>
    <rPh sb="2" eb="4">
      <t>キノウ</t>
    </rPh>
    <phoneticPr fontId="37"/>
  </si>
  <si>
    <t>ヘッダー作成</t>
    <rPh sb="4" eb="6">
      <t>サクセイ</t>
    </rPh>
    <phoneticPr fontId="3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</si>
</sst>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2" formatCode="_ &quot;¥&quot;* #,##0_ ;_ &quot;¥&quot;* \-#,##0_ ;_ &quot;¥&quot;* &quot;-&quot;_ ;_ @_ "/>
    <numFmt numFmtId="44" formatCode="_ &quot;¥&quot;* #,##0.00_ ;_ &quot;¥&quot;* \-#,##0.00_ ;_ &quot;¥&quot;* &quot;-&quot;??_ ;_ @_ "/>
    <numFmt numFmtId="176" formatCode="_(* #,##0_);_(* \(#,##0\);_(* &quot;-&quot;_);_(@_)"/>
    <numFmt numFmtId="177" formatCode="_(* #,##0.00_);_(* \(#,##0.00\);_(* &quot;-&quot;??_);_(@_)"/>
    <numFmt numFmtId="178" formatCode="m/d/yy;@"/>
    <numFmt numFmtId="179" formatCode="aaa\,\ m/d/yyyy"/>
    <numFmt numFmtId="180" formatCode="dd\-mmm\-yyyy;@"/>
    <numFmt numFmtId="181" formatCode="d"/>
    <numFmt numFmtId="182" formatCode="yy/m/d"/>
  </numFmts>
  <fonts count="41" x14ac:knownFonts="1">
    <font>
      <sz val="11"/>
      <color theme="1"/>
      <name val="Meiryo UI"/>
      <family val="2"/>
      <charset val="128"/>
    </font>
    <font>
      <sz val="11"/>
      <color theme="1"/>
      <name val="Meiryo UI"/>
      <family val="2"/>
      <charset val="128"/>
    </font>
    <font>
      <sz val="11"/>
      <color theme="0"/>
      <name val="Meiryo UI"/>
      <family val="2"/>
      <charset val="128"/>
    </font>
    <font>
      <sz val="11"/>
      <color rgb="FF006100"/>
      <name val="Meiryo UI"/>
      <family val="2"/>
      <charset val="128"/>
    </font>
    <font>
      <sz val="11"/>
      <color rgb="FF9C0006"/>
      <name val="Meiryo UI"/>
      <family val="2"/>
      <charset val="128"/>
    </font>
    <font>
      <u/>
      <sz val="11"/>
      <color theme="11"/>
      <name val="Meiryo UI"/>
      <family val="2"/>
      <charset val="128"/>
    </font>
    <font>
      <b/>
      <sz val="22"/>
      <color theme="1" tint="0.34998626667073579"/>
      <name val="Meiryo UI"/>
      <family val="2"/>
      <charset val="128"/>
    </font>
    <font>
      <sz val="14"/>
      <color theme="1"/>
      <name val="Meiryo UI"/>
      <family val="2"/>
      <charset val="128"/>
    </font>
    <font>
      <b/>
      <sz val="11"/>
      <color theme="3"/>
      <name val="Meiryo UI"/>
      <family val="2"/>
      <charset val="128"/>
    </font>
    <font>
      <b/>
      <sz val="11"/>
      <color theme="0"/>
      <name val="Meiryo UI"/>
      <family val="2"/>
      <charset val="128"/>
    </font>
    <font>
      <b/>
      <sz val="11"/>
      <color theme="1"/>
      <name val="Meiryo UI"/>
      <family val="2"/>
      <charset val="128"/>
    </font>
    <font>
      <i/>
      <sz val="11"/>
      <color rgb="FF7F7F7F"/>
      <name val="Meiryo UI"/>
      <family val="2"/>
      <charset val="128"/>
    </font>
    <font>
      <sz val="11"/>
      <color rgb="FFFF0000"/>
      <name val="Meiryo UI"/>
      <family val="2"/>
      <charset val="128"/>
    </font>
    <font>
      <b/>
      <sz val="11"/>
      <color rgb="FFFA7D00"/>
      <name val="Meiryo UI"/>
      <family val="2"/>
      <charset val="128"/>
    </font>
    <font>
      <u/>
      <sz val="11"/>
      <color indexed="12"/>
      <name val="Meiryo UI"/>
      <family val="2"/>
      <charset val="128"/>
    </font>
    <font>
      <sz val="11"/>
      <color rgb="FF3F3F76"/>
      <name val="Meiryo UI"/>
      <family val="2"/>
      <charset val="128"/>
    </font>
    <font>
      <b/>
      <sz val="11"/>
      <color rgb="FF3F3F3F"/>
      <name val="Meiryo UI"/>
      <family val="2"/>
      <charset val="128"/>
    </font>
    <font>
      <sz val="11"/>
      <color rgb="FF9C5700"/>
      <name val="Meiryo UI"/>
      <family val="2"/>
      <charset val="128"/>
    </font>
    <font>
      <sz val="11"/>
      <color rgb="FFFA7D00"/>
      <name val="Meiryo UI"/>
      <family val="2"/>
      <charset val="128"/>
    </font>
    <font>
      <b/>
      <sz val="20"/>
      <color theme="4" tint="-0.249977111117893"/>
      <name val="Meiryo UI"/>
      <family val="2"/>
      <charset val="128"/>
    </font>
    <font>
      <sz val="10"/>
      <name val="Meiryo UI"/>
      <family val="2"/>
      <charset val="128"/>
    </font>
    <font>
      <b/>
      <sz val="11"/>
      <color theme="1" tint="0.499984740745262"/>
      <name val="Meiryo UI"/>
      <family val="2"/>
      <charset val="128"/>
    </font>
    <font>
      <sz val="10"/>
      <color theme="1" tint="0.499984740745262"/>
      <name val="Meiryo UI"/>
      <family val="2"/>
      <charset val="128"/>
    </font>
    <font>
      <sz val="9"/>
      <name val="Meiryo UI"/>
      <family val="2"/>
      <charset val="128"/>
    </font>
    <font>
      <b/>
      <sz val="9"/>
      <color theme="0"/>
      <name val="Meiryo UI"/>
      <family val="2"/>
      <charset val="128"/>
    </font>
    <font>
      <sz val="8"/>
      <color theme="0"/>
      <name val="Meiryo UI"/>
      <family val="2"/>
      <charset val="128"/>
    </font>
    <font>
      <sz val="11"/>
      <name val="Meiryo UI"/>
      <family val="2"/>
      <charset val="128"/>
    </font>
    <font>
      <i/>
      <sz val="9"/>
      <color theme="1"/>
      <name val="Meiryo UI"/>
      <family val="2"/>
      <charset val="128"/>
    </font>
    <font>
      <sz val="10"/>
      <name val="Meiryo UI"/>
      <family val="3"/>
      <charset val="128"/>
    </font>
    <font>
      <b/>
      <sz val="12"/>
      <color theme="1" tint="0.34998626667073579"/>
      <name val="Meiryo UI"/>
      <family val="3"/>
      <charset val="128"/>
    </font>
    <font>
      <b/>
      <sz val="10"/>
      <name val="Meiryo UI"/>
      <family val="3"/>
      <charset val="128"/>
    </font>
    <font>
      <sz val="11"/>
      <color theme="1" tint="0.499984740745262"/>
      <name val="Meiryo UI"/>
      <family val="3"/>
      <charset val="128"/>
    </font>
    <font>
      <b/>
      <sz val="16"/>
      <color theme="4" tint="-0.249977111117893"/>
      <name val="Meiryo UI"/>
      <family val="3"/>
      <charset val="128"/>
    </font>
    <font>
      <sz val="20"/>
      <name val="Meiryo UI"/>
      <family val="3"/>
      <charset val="128"/>
    </font>
    <font>
      <sz val="11"/>
      <color rgb="FF1D2129"/>
      <name val="Meiryo UI"/>
      <family val="3"/>
      <charset val="128"/>
    </font>
    <font>
      <sz val="11"/>
      <color theme="1"/>
      <name val="Meiryo UI"/>
      <family val="3"/>
      <charset val="128"/>
    </font>
    <font>
      <u/>
      <sz val="11"/>
      <color indexed="12"/>
      <name val="Meiryo UI"/>
      <family val="3"/>
      <charset val="128"/>
    </font>
    <font>
      <sz val="6"/>
      <name val="Meiryo UI"/>
      <family val="2"/>
      <charset val="128"/>
    </font>
    <font>
      <sz val="9"/>
      <color theme="1"/>
      <name val="Meiryo UI"/>
      <family val="3"/>
      <charset val="128"/>
    </font>
    <font>
      <b/>
      <sz val="11"/>
      <color theme="1"/>
      <name val="Meiryo UI"/>
      <family val="3"/>
      <charset val="128"/>
    </font>
    <font>
      <b/>
      <sz val="11"/>
      <name val="Meiryo UI"/>
      <family val="3"/>
      <charset val="128"/>
    </font>
  </fonts>
  <fills count="4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6"/>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FFFF00"/>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14" fillId="0" borderId="0" applyNumberFormat="0" applyFill="0" applyBorder="0" applyAlignment="0" applyProtection="0">
      <alignment vertical="top"/>
      <protection locked="0"/>
    </xf>
    <xf numFmtId="9" fontId="1" fillId="0" borderId="0" applyFont="0" applyFill="0" applyBorder="0" applyAlignment="0" applyProtection="0"/>
    <xf numFmtId="0" fontId="2" fillId="0" borderId="0"/>
    <xf numFmtId="177" fontId="1" fillId="0" borderId="3" applyFont="0" applyFill="0" applyAlignment="0" applyProtection="0"/>
    <xf numFmtId="0" fontId="6" fillId="0" borderId="0" applyNumberFormat="0" applyFill="0" applyBorder="0" applyAlignment="0" applyProtection="0"/>
    <xf numFmtId="0" fontId="7" fillId="0" borderId="0" applyNumberFormat="0" applyFill="0" applyAlignment="0" applyProtection="0"/>
    <xf numFmtId="0" fontId="7" fillId="0" borderId="0" applyNumberFormat="0" applyFill="0" applyProtection="0">
      <alignment vertical="top"/>
    </xf>
    <xf numFmtId="0" fontId="1" fillId="0" borderId="0" applyNumberFormat="0" applyFill="0" applyProtection="0">
      <alignment horizontal="right" indent="1"/>
    </xf>
    <xf numFmtId="179" fontId="1" fillId="0" borderId="3">
      <alignment horizontal="center" vertical="center"/>
    </xf>
    <xf numFmtId="178" fontId="1" fillId="0" borderId="2" applyFill="0">
      <alignment horizontal="center" vertical="center"/>
    </xf>
    <xf numFmtId="0" fontId="1" fillId="0" borderId="2" applyFill="0">
      <alignment horizontal="center" vertical="center"/>
    </xf>
    <xf numFmtId="0" fontId="1" fillId="0" borderId="2" applyFill="0">
      <alignment horizontal="left" vertical="center" indent="2"/>
    </xf>
    <xf numFmtId="0" fontId="5" fillId="0" borderId="0" applyNumberFormat="0" applyFill="0" applyBorder="0" applyAlignment="0" applyProtection="0"/>
    <xf numFmtId="176"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8" fillId="0" borderId="0" applyNumberFormat="0" applyFill="0" applyBorder="0" applyAlignment="0" applyProtection="0"/>
    <xf numFmtId="0" fontId="3" fillId="11" borderId="0" applyNumberFormat="0" applyBorder="0" applyAlignment="0" applyProtection="0"/>
    <xf numFmtId="0" fontId="4" fillId="12" borderId="0" applyNumberFormat="0" applyBorder="0" applyAlignment="0" applyProtection="0"/>
    <xf numFmtId="0" fontId="17" fillId="13" borderId="0" applyNumberFormat="0" applyBorder="0" applyAlignment="0" applyProtection="0"/>
    <xf numFmtId="0" fontId="15" fillId="14" borderId="11" applyNumberFormat="0" applyAlignment="0" applyProtection="0"/>
    <xf numFmtId="0" fontId="16" fillId="15" borderId="12" applyNumberFormat="0" applyAlignment="0" applyProtection="0"/>
    <xf numFmtId="0" fontId="13" fillId="15" borderId="11" applyNumberFormat="0" applyAlignment="0" applyProtection="0"/>
    <xf numFmtId="0" fontId="18" fillId="0" borderId="13" applyNumberFormat="0" applyFill="0" applyAlignment="0" applyProtection="0"/>
    <xf numFmtId="0" fontId="9" fillId="16" borderId="14" applyNumberFormat="0" applyAlignment="0" applyProtection="0"/>
    <xf numFmtId="0" fontId="12" fillId="0" borderId="0" applyNumberFormat="0" applyFill="0" applyBorder="0" applyAlignment="0" applyProtection="0"/>
    <xf numFmtId="0" fontId="1" fillId="17" borderId="15" applyNumberFormat="0" applyFont="0" applyAlignment="0" applyProtection="0"/>
    <xf numFmtId="0" fontId="11" fillId="0" borderId="0" applyNumberFormat="0" applyFill="0" applyBorder="0" applyAlignment="0" applyProtection="0"/>
    <xf numFmtId="0" fontId="10" fillId="0" borderId="16" applyNumberFormat="0" applyFill="0" applyAlignment="0" applyProtection="0"/>
    <xf numFmtId="0" fontId="2"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2"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cellStyleXfs>
  <cellXfs count="95">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178" fontId="0" fillId="4" borderId="2" xfId="0" applyNumberFormat="1" applyFill="1" applyBorder="1" applyAlignment="1">
      <alignment horizontal="center" vertical="center"/>
    </xf>
    <xf numFmtId="0" fontId="0" fillId="0" borderId="9" xfId="0" applyBorder="1" applyAlignment="1">
      <alignment vertical="center"/>
    </xf>
    <xf numFmtId="0" fontId="0" fillId="2" borderId="9" xfId="0" applyFill="1" applyBorder="1" applyAlignment="1">
      <alignment vertical="center"/>
    </xf>
    <xf numFmtId="0" fontId="2" fillId="0" borderId="0" xfId="3"/>
    <xf numFmtId="0" fontId="2" fillId="0" borderId="0" xfId="3" applyAlignment="1">
      <alignment wrapText="1"/>
    </xf>
    <xf numFmtId="0" fontId="0" fillId="0" borderId="0" xfId="0" applyAlignment="1">
      <alignment wrapText="1"/>
    </xf>
    <xf numFmtId="0" fontId="6" fillId="0" borderId="0" xfId="5" applyAlignment="1">
      <alignment horizontal="left"/>
    </xf>
    <xf numFmtId="0" fontId="7" fillId="0" borderId="0" xfId="6"/>
    <xf numFmtId="0" fontId="7" fillId="0" borderId="0" xfId="7">
      <alignment vertical="top"/>
    </xf>
    <xf numFmtId="178" fontId="1" fillId="0" borderId="2" xfId="10">
      <alignment horizontal="center" vertical="center"/>
    </xf>
    <xf numFmtId="0" fontId="1" fillId="3" borderId="2" xfId="11" applyFill="1">
      <alignment horizontal="center" vertical="center"/>
    </xf>
    <xf numFmtId="0" fontId="1" fillId="5" borderId="2" xfId="11" applyFill="1">
      <alignment horizontal="center" vertical="center"/>
    </xf>
    <xf numFmtId="0" fontId="1" fillId="8" borderId="2" xfId="11" applyFill="1">
      <alignment horizontal="center" vertical="center"/>
    </xf>
    <xf numFmtId="0" fontId="1" fillId="4" borderId="2" xfId="11" applyFill="1">
      <alignment horizontal="center" vertical="center"/>
    </xf>
    <xf numFmtId="0" fontId="1" fillId="7" borderId="2" xfId="11" applyFill="1">
      <alignment horizontal="center" vertical="center"/>
    </xf>
    <xf numFmtId="0" fontId="1" fillId="0" borderId="2" xfId="11">
      <alignment horizontal="center" vertical="center"/>
    </xf>
    <xf numFmtId="0" fontId="1" fillId="3" borderId="2" xfId="12" applyFill="1">
      <alignment horizontal="left" vertical="center" indent="2"/>
    </xf>
    <xf numFmtId="0" fontId="1" fillId="8" borderId="2" xfId="12" applyFill="1">
      <alignment horizontal="left" vertical="center" indent="2"/>
    </xf>
    <xf numFmtId="0" fontId="1" fillId="7" borderId="2" xfId="12" applyFill="1">
      <alignment horizontal="left" vertical="center" indent="2"/>
    </xf>
    <xf numFmtId="0" fontId="1" fillId="0" borderId="2" xfId="12">
      <alignment horizontal="left" vertical="center" indent="2"/>
    </xf>
    <xf numFmtId="0" fontId="19" fillId="0" borderId="0" xfId="0" applyFont="1" applyAlignment="1">
      <alignment horizontal="left"/>
    </xf>
    <xf numFmtId="0" fontId="20" fillId="0" borderId="0" xfId="0" applyFont="1"/>
    <xf numFmtId="0" fontId="20" fillId="0" borderId="0" xfId="0" applyFont="1" applyAlignment="1">
      <alignment horizontal="center"/>
    </xf>
    <xf numFmtId="0" fontId="20" fillId="0" borderId="0" xfId="0" applyFont="1" applyAlignment="1">
      <alignment horizontal="center" vertical="center"/>
    </xf>
    <xf numFmtId="0" fontId="21" fillId="0" borderId="0" xfId="0" applyFont="1"/>
    <xf numFmtId="0" fontId="22" fillId="0" borderId="0" xfId="1" applyFont="1" applyProtection="1">
      <alignment vertical="top"/>
    </xf>
    <xf numFmtId="0" fontId="24" fillId="10" borderId="1" xfId="0" applyFont="1" applyFill="1" applyBorder="1" applyAlignment="1">
      <alignment horizontal="left" vertical="center" indent="1"/>
    </xf>
    <xf numFmtId="0" fontId="24" fillId="10" borderId="1" xfId="0" applyFont="1" applyFill="1" applyBorder="1" applyAlignment="1">
      <alignment horizontal="center" vertical="center" wrapText="1"/>
    </xf>
    <xf numFmtId="0" fontId="25" fillId="9" borderId="8" xfId="0" applyFont="1" applyFill="1" applyBorder="1" applyAlignment="1">
      <alignment horizontal="center" vertical="center" shrinkToFit="1"/>
    </xf>
    <xf numFmtId="0" fontId="26" fillId="0" borderId="2" xfId="0" applyFont="1" applyBorder="1" applyAlignment="1">
      <alignment horizontal="center" vertical="center"/>
    </xf>
    <xf numFmtId="9" fontId="26" fillId="3" borderId="2" xfId="2" applyFont="1" applyFill="1" applyBorder="1" applyAlignment="1">
      <alignment horizontal="center" vertical="center"/>
    </xf>
    <xf numFmtId="0" fontId="10" fillId="5" borderId="2" xfId="0" applyFont="1" applyFill="1" applyBorder="1" applyAlignment="1">
      <alignment horizontal="left" vertical="center" indent="1"/>
    </xf>
    <xf numFmtId="9" fontId="26" fillId="5" borderId="2" xfId="2" applyFont="1" applyFill="1" applyBorder="1" applyAlignment="1">
      <alignment horizontal="center" vertical="center"/>
    </xf>
    <xf numFmtId="9" fontId="26" fillId="8" borderId="2" xfId="2" applyFont="1" applyFill="1" applyBorder="1" applyAlignment="1">
      <alignment horizontal="center" vertical="center"/>
    </xf>
    <xf numFmtId="0" fontId="10" fillId="4" borderId="2" xfId="0" applyFont="1" applyFill="1" applyBorder="1" applyAlignment="1">
      <alignment horizontal="left" vertical="center" indent="1"/>
    </xf>
    <xf numFmtId="9" fontId="26" fillId="4" borderId="2" xfId="2" applyFont="1" applyFill="1" applyBorder="1" applyAlignment="1">
      <alignment horizontal="center" vertical="center"/>
    </xf>
    <xf numFmtId="178" fontId="26" fillId="4" borderId="2" xfId="0" applyNumberFormat="1" applyFont="1" applyFill="1" applyBorder="1" applyAlignment="1">
      <alignment horizontal="center" vertical="center"/>
    </xf>
    <xf numFmtId="9" fontId="26" fillId="7" borderId="2" xfId="2" applyFont="1" applyFill="1" applyBorder="1" applyAlignment="1">
      <alignment horizontal="center" vertical="center"/>
    </xf>
    <xf numFmtId="9" fontId="26" fillId="0" borderId="2" xfId="2" applyFont="1" applyBorder="1" applyAlignment="1">
      <alignment horizontal="center" vertical="center"/>
    </xf>
    <xf numFmtId="0" fontId="27" fillId="2" borderId="2" xfId="0" applyFont="1" applyFill="1" applyBorder="1" applyAlignment="1">
      <alignment horizontal="center" vertical="center"/>
    </xf>
    <xf numFmtId="9" fontId="26" fillId="2" borderId="2" xfId="2" applyFont="1" applyFill="1" applyBorder="1" applyAlignment="1">
      <alignment horizontal="center" vertical="center"/>
    </xf>
    <xf numFmtId="178" fontId="26" fillId="2" borderId="2" xfId="0" applyNumberFormat="1" applyFont="1" applyFill="1" applyBorder="1" applyAlignment="1">
      <alignment horizontal="center" vertical="center"/>
    </xf>
    <xf numFmtId="0" fontId="26" fillId="2" borderId="2" xfId="0" applyFont="1" applyFill="1" applyBorder="1" applyAlignment="1">
      <alignment horizontal="center" vertical="center"/>
    </xf>
    <xf numFmtId="0" fontId="2" fillId="0" borderId="0" xfId="0" applyFont="1" applyAlignment="1">
      <alignment horizontal="center"/>
    </xf>
    <xf numFmtId="0" fontId="22" fillId="0" borderId="0" xfId="1" applyFont="1" applyAlignment="1" applyProtection="1"/>
    <xf numFmtId="0" fontId="28" fillId="0" borderId="0" xfId="0" applyFont="1" applyAlignment="1">
      <alignment vertical="top"/>
    </xf>
    <xf numFmtId="0" fontId="28" fillId="0" borderId="0" xfId="0" applyFont="1"/>
    <xf numFmtId="0" fontId="29" fillId="0" borderId="0" xfId="0" applyFont="1" applyAlignment="1">
      <alignment horizontal="left" vertical="center"/>
    </xf>
    <xf numFmtId="0" fontId="30" fillId="0" borderId="0" xfId="0" applyFont="1" applyAlignment="1">
      <alignment horizontal="left" vertical="center"/>
    </xf>
    <xf numFmtId="0" fontId="31" fillId="0" borderId="0" xfId="0" applyFont="1" applyAlignment="1">
      <alignment vertical="top"/>
    </xf>
    <xf numFmtId="0" fontId="28" fillId="0" borderId="0" xfId="0" applyFont="1" applyAlignment="1">
      <alignment horizontal="left" vertical="top"/>
    </xf>
    <xf numFmtId="0" fontId="32" fillId="0" borderId="0" xfId="0" applyFont="1" applyAlignment="1">
      <alignment vertical="center"/>
    </xf>
    <xf numFmtId="0" fontId="33" fillId="0" borderId="0" xfId="0" applyFont="1"/>
    <xf numFmtId="0" fontId="34" fillId="0" borderId="0" xfId="0" applyFont="1" applyAlignment="1">
      <alignment horizontal="left" vertical="top" wrapText="1" indent="1"/>
    </xf>
    <xf numFmtId="0" fontId="35" fillId="0" borderId="0" xfId="0" applyFont="1" applyAlignment="1">
      <alignment vertical="top" wrapText="1"/>
    </xf>
    <xf numFmtId="0" fontId="36" fillId="0" borderId="0" xfId="1" applyFont="1" applyAlignment="1" applyProtection="1">
      <alignment horizontal="left" vertical="top"/>
    </xf>
    <xf numFmtId="181" fontId="23" fillId="6" borderId="6" xfId="0" applyNumberFormat="1" applyFont="1" applyFill="1" applyBorder="1" applyAlignment="1">
      <alignment horizontal="center" vertical="center"/>
    </xf>
    <xf numFmtId="181" fontId="23" fillId="6" borderId="0" xfId="0" applyNumberFormat="1" applyFont="1" applyFill="1" applyAlignment="1">
      <alignment horizontal="center" vertical="center"/>
    </xf>
    <xf numFmtId="181" fontId="23" fillId="6" borderId="7" xfId="0" applyNumberFormat="1" applyFont="1" applyFill="1" applyBorder="1" applyAlignment="1">
      <alignment horizontal="center" vertical="center"/>
    </xf>
    <xf numFmtId="178" fontId="1" fillId="2" borderId="2" xfId="10" applyFill="1">
      <alignment horizontal="center" vertical="center"/>
    </xf>
    <xf numFmtId="0" fontId="38" fillId="2" borderId="2" xfId="0" applyFont="1" applyFill="1" applyBorder="1" applyAlignment="1">
      <alignment horizontal="left" vertical="center" indent="1"/>
    </xf>
    <xf numFmtId="182" fontId="1" fillId="3" borderId="2" xfId="10" applyNumberFormat="1" applyFill="1">
      <alignment horizontal="center" vertical="center"/>
    </xf>
    <xf numFmtId="182" fontId="0" fillId="5" borderId="2" xfId="0" applyNumberFormat="1" applyFill="1" applyBorder="1" applyAlignment="1">
      <alignment horizontal="center" vertical="center"/>
    </xf>
    <xf numFmtId="182" fontId="26" fillId="5" borderId="2" xfId="0" applyNumberFormat="1" applyFont="1" applyFill="1" applyBorder="1" applyAlignment="1">
      <alignment horizontal="center" vertical="center"/>
    </xf>
    <xf numFmtId="182" fontId="1" fillId="8" borderId="2" xfId="10" applyNumberFormat="1" applyFill="1">
      <alignment horizontal="center" vertical="center"/>
    </xf>
    <xf numFmtId="0" fontId="10" fillId="42" borderId="2" xfId="0" applyFont="1" applyFill="1" applyBorder="1" applyAlignment="1">
      <alignment horizontal="left" vertical="center" indent="1"/>
    </xf>
    <xf numFmtId="0" fontId="1" fillId="42" borderId="2" xfId="11" applyFill="1">
      <alignment horizontal="center" vertical="center"/>
    </xf>
    <xf numFmtId="9" fontId="26" fillId="42" borderId="2" xfId="2" applyFont="1" applyFill="1" applyBorder="1" applyAlignment="1">
      <alignment horizontal="center" vertical="center"/>
    </xf>
    <xf numFmtId="178" fontId="0" fillId="42" borderId="2" xfId="0" applyNumberFormat="1" applyFill="1" applyBorder="1" applyAlignment="1">
      <alignment horizontal="center" vertical="center"/>
    </xf>
    <xf numFmtId="178" fontId="26" fillId="42" borderId="2" xfId="0" applyNumberFormat="1" applyFont="1" applyFill="1" applyBorder="1" applyAlignment="1">
      <alignment horizontal="center" vertical="center"/>
    </xf>
    <xf numFmtId="0" fontId="1" fillId="43" borderId="2" xfId="11" applyFill="1">
      <alignment horizontal="center" vertical="center"/>
    </xf>
    <xf numFmtId="9" fontId="26" fillId="43" borderId="2" xfId="2" applyFont="1" applyFill="1" applyBorder="1" applyAlignment="1">
      <alignment horizontal="center" vertical="center"/>
    </xf>
    <xf numFmtId="178" fontId="1" fillId="43" borderId="2" xfId="10" applyFill="1">
      <alignment horizontal="center" vertical="center"/>
    </xf>
    <xf numFmtId="0" fontId="39" fillId="43" borderId="2" xfId="12" applyFont="1" applyFill="1">
      <alignment horizontal="left" vertical="center" indent="2"/>
    </xf>
    <xf numFmtId="0" fontId="39" fillId="44" borderId="2" xfId="12" applyFont="1" applyFill="1">
      <alignment horizontal="left" vertical="center" indent="2"/>
    </xf>
    <xf numFmtId="0" fontId="39" fillId="44" borderId="2" xfId="11" applyFont="1" applyFill="1">
      <alignment horizontal="center" vertical="center"/>
    </xf>
    <xf numFmtId="9" fontId="40" fillId="44" borderId="2" xfId="2" applyFont="1" applyFill="1" applyBorder="1" applyAlignment="1">
      <alignment horizontal="center" vertical="center"/>
    </xf>
    <xf numFmtId="178" fontId="39" fillId="44" borderId="2" xfId="10" applyFont="1" applyFill="1">
      <alignment horizontal="center" vertical="center"/>
    </xf>
    <xf numFmtId="0" fontId="39" fillId="46" borderId="2" xfId="12" applyFont="1" applyFill="1">
      <alignment horizontal="left" vertical="center" indent="2"/>
    </xf>
    <xf numFmtId="0" fontId="39" fillId="46" borderId="2" xfId="11" applyFont="1" applyFill="1">
      <alignment horizontal="center" vertical="center"/>
    </xf>
    <xf numFmtId="9" fontId="40" fillId="46" borderId="2" xfId="2" applyFont="1" applyFill="1" applyBorder="1" applyAlignment="1">
      <alignment horizontal="center" vertical="center"/>
    </xf>
    <xf numFmtId="178" fontId="39" fillId="46" borderId="2" xfId="10" applyFont="1" applyFill="1">
      <alignment horizontal="center" vertical="center"/>
    </xf>
    <xf numFmtId="178" fontId="39" fillId="45" borderId="2" xfId="10" applyFont="1" applyFill="1" applyAlignment="1">
      <alignment horizontal="left" vertical="center"/>
    </xf>
    <xf numFmtId="180" fontId="0" fillId="6" borderId="4" xfId="0" applyNumberFormat="1" applyFill="1" applyBorder="1" applyAlignment="1">
      <alignment horizontal="left" vertical="center" wrapText="1" indent="1"/>
    </xf>
    <xf numFmtId="180" fontId="0" fillId="6" borderId="1" xfId="0" applyNumberFormat="1" applyFill="1" applyBorder="1" applyAlignment="1">
      <alignment horizontal="left" vertical="center" wrapText="1" indent="1"/>
    </xf>
    <xf numFmtId="180" fontId="0" fillId="6" borderId="5" xfId="0" applyNumberFormat="1" applyFill="1" applyBorder="1" applyAlignment="1">
      <alignment horizontal="left" vertical="center" wrapText="1" indent="1"/>
    </xf>
    <xf numFmtId="179" fontId="1" fillId="0" borderId="3" xfId="9">
      <alignment horizontal="center" vertical="center"/>
    </xf>
    <xf numFmtId="0" fontId="1" fillId="0" borderId="0" xfId="8">
      <alignment horizontal="right" indent="1"/>
    </xf>
    <xf numFmtId="0" fontId="1" fillId="0" borderId="7" xfId="8" applyBorder="1">
      <alignment horizontal="right" indent="1"/>
    </xf>
    <xf numFmtId="0" fontId="0" fillId="0" borderId="10" xfId="0" applyBorder="1"/>
  </cellXfs>
  <cellStyles count="54">
    <cellStyle name="20% - アクセント 1" xfId="31" builtinId="30" customBuiltin="1"/>
    <cellStyle name="20% - アクセント 2" xfId="35" builtinId="34" customBuiltin="1"/>
    <cellStyle name="20% - アクセント 3" xfId="39" builtinId="38" customBuiltin="1"/>
    <cellStyle name="20% - アクセント 4" xfId="43" builtinId="42" customBuiltin="1"/>
    <cellStyle name="20% - アクセント 5" xfId="47" builtinId="46" customBuiltin="1"/>
    <cellStyle name="20% - アクセント 6" xfId="51" builtinId="50" customBuiltin="1"/>
    <cellStyle name="40% - アクセント 1" xfId="32" builtinId="31" customBuiltin="1"/>
    <cellStyle name="40% - アクセント 2" xfId="36" builtinId="35" customBuiltin="1"/>
    <cellStyle name="40% - アクセント 3" xfId="40" builtinId="39" customBuiltin="1"/>
    <cellStyle name="40% - アクセント 4" xfId="44" builtinId="43" customBuiltin="1"/>
    <cellStyle name="40% - アクセント 5" xfId="48" builtinId="47" customBuiltin="1"/>
    <cellStyle name="40% - アクセント 6" xfId="52" builtinId="51" customBuiltin="1"/>
    <cellStyle name="60% - アクセント 1" xfId="33" builtinId="32" customBuiltin="1"/>
    <cellStyle name="60% - アクセント 2" xfId="37" builtinId="36" customBuiltin="1"/>
    <cellStyle name="60% - アクセント 3" xfId="41" builtinId="40" customBuiltin="1"/>
    <cellStyle name="60% - アクセント 4" xfId="45" builtinId="44" customBuiltin="1"/>
    <cellStyle name="60% - アクセント 5" xfId="49" builtinId="48" customBuiltin="1"/>
    <cellStyle name="60% - アクセント 6" xfId="53" builtinId="52" customBuiltin="1"/>
    <cellStyle name="z_非表示_テキスト" xfId="3" xr:uid="{00000000-0005-0000-0000-000012000000}"/>
    <cellStyle name="アクセント 1" xfId="30" builtinId="29" customBuiltin="1"/>
    <cellStyle name="アクセント 2" xfId="34" builtinId="33" customBuiltin="1"/>
    <cellStyle name="アクセント 3" xfId="38" builtinId="37" customBuiltin="1"/>
    <cellStyle name="アクセント 4" xfId="42" builtinId="41" customBuiltin="1"/>
    <cellStyle name="アクセント 5" xfId="46" builtinId="45" customBuiltin="1"/>
    <cellStyle name="アクセント 6" xfId="50" builtinId="49" customBuiltin="1"/>
    <cellStyle name="タイトル" xfId="5" builtinId="15" customBuiltin="1"/>
    <cellStyle name="タスク" xfId="12" xr:uid="{00000000-0005-0000-0000-00001A000000}"/>
    <cellStyle name="チェック セル" xfId="25" builtinId="23" customBuiltin="1"/>
    <cellStyle name="どちらでもない" xfId="20" builtinId="28" customBuiltin="1"/>
    <cellStyle name="パーセント" xfId="2" builtinId="5" customBuiltin="1"/>
    <cellStyle name="ハイパーリンク" xfId="1" builtinId="8" customBuiltin="1"/>
    <cellStyle name="プロジェクトの開始" xfId="9" xr:uid="{00000000-0005-0000-0000-00001F000000}"/>
    <cellStyle name="メモ" xfId="27" builtinId="10" customBuiltin="1"/>
    <cellStyle name="リンク セル" xfId="24" builtinId="24" customBuiltin="1"/>
    <cellStyle name="悪い" xfId="19" builtinId="27" customBuiltin="1"/>
    <cellStyle name="計算" xfId="23" builtinId="22" customBuiltin="1"/>
    <cellStyle name="警告文" xfId="26" builtinId="11" customBuiltin="1"/>
    <cellStyle name="桁区切り" xfId="14" builtinId="6" customBuiltin="1"/>
    <cellStyle name="桁区切り [0.00]" xfId="4" builtinId="3" customBuiltin="1"/>
    <cellStyle name="見出し 1" xfId="6" builtinId="16" customBuiltin="1"/>
    <cellStyle name="見出し 2" xfId="7" builtinId="17" customBuiltin="1"/>
    <cellStyle name="見出し 3" xfId="8" builtinId="18" customBuiltin="1"/>
    <cellStyle name="見出し 4" xfId="17" builtinId="19" customBuiltin="1"/>
    <cellStyle name="集計" xfId="29" builtinId="25" customBuiltin="1"/>
    <cellStyle name="出力" xfId="22" builtinId="21" customBuiltin="1"/>
    <cellStyle name="説明文" xfId="28" builtinId="53" customBuiltin="1"/>
    <cellStyle name="通貨" xfId="16" builtinId="7" customBuiltin="1"/>
    <cellStyle name="通貨 [0.00]" xfId="15" builtinId="4" customBuiltin="1"/>
    <cellStyle name="日付" xfId="10" xr:uid="{00000000-0005-0000-0000-000030000000}"/>
    <cellStyle name="入力" xfId="21" builtinId="20" customBuiltin="1"/>
    <cellStyle name="標準" xfId="0" builtinId="0" customBuiltin="1"/>
    <cellStyle name="表示済みのハイパーリンク" xfId="13" builtinId="9" customBuiltin="1"/>
    <cellStyle name="名前" xfId="11" xr:uid="{00000000-0005-0000-0000-000034000000}"/>
    <cellStyle name="良い" xfId="18" builtinId="26" customBuiltin="1"/>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_リスト"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画像 1" descr="Vertex42 ロゴ">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0"/>
  <sheetViews>
    <sheetView showGridLines="0" tabSelected="1" showRuler="0" zoomScale="71" zoomScaleNormal="71" zoomScalePageLayoutView="70" workbookViewId="0">
      <pane ySplit="6" topLeftCell="A8" activePane="bottomLeft" state="frozen"/>
      <selection pane="bottomLeft"/>
    </sheetView>
  </sheetViews>
  <sheetFormatPr defaultColWidth="8.7265625" defaultRowHeight="30" customHeight="1" x14ac:dyDescent="0.3"/>
  <cols>
    <col min="1" max="1" width="2.7265625" style="8" customWidth="1"/>
    <col min="2" max="2" width="19.81640625" customWidth="1"/>
    <col min="3" max="3" width="30.7265625" customWidth="1"/>
    <col min="4" max="4" width="10.7265625" customWidth="1"/>
    <col min="5" max="5" width="10.453125" style="2" customWidth="1"/>
    <col min="6" max="6" width="10.453125" customWidth="1"/>
    <col min="7" max="7" width="2.7265625" customWidth="1"/>
    <col min="8" max="8" width="6.26953125" hidden="1" customWidth="1"/>
    <col min="9" max="64" width="2.54296875" customWidth="1"/>
    <col min="66" max="68" width="6.81640625"/>
    <col min="69" max="70" width="8.1796875"/>
  </cols>
  <sheetData>
    <row r="1" spans="1:64" ht="30" customHeight="1" x14ac:dyDescent="0.55000000000000004">
      <c r="A1" s="9" t="s">
        <v>0</v>
      </c>
      <c r="B1" s="11" t="s">
        <v>33</v>
      </c>
      <c r="C1" s="25"/>
      <c r="D1" s="26"/>
      <c r="E1" s="27"/>
      <c r="F1" s="28"/>
      <c r="H1" s="26"/>
      <c r="I1" s="29" t="s">
        <v>18</v>
      </c>
    </row>
    <row r="2" spans="1:64" ht="30" customHeight="1" x14ac:dyDescent="0.35">
      <c r="A2" s="8" t="s">
        <v>1</v>
      </c>
      <c r="B2" s="12" t="s">
        <v>52</v>
      </c>
      <c r="I2" s="30" t="s">
        <v>19</v>
      </c>
    </row>
    <row r="3" spans="1:64" ht="30" customHeight="1" x14ac:dyDescent="0.3">
      <c r="A3" s="8" t="s">
        <v>2</v>
      </c>
      <c r="B3" s="13"/>
      <c r="C3" s="92" t="s">
        <v>11</v>
      </c>
      <c r="D3" s="93"/>
      <c r="E3" s="91">
        <f ca="1">TODAY()</f>
        <v>46228</v>
      </c>
      <c r="F3" s="91"/>
    </row>
    <row r="4" spans="1:64" ht="30" customHeight="1" x14ac:dyDescent="0.3">
      <c r="A4" s="9" t="s">
        <v>3</v>
      </c>
      <c r="C4" s="92" t="s">
        <v>12</v>
      </c>
      <c r="D4" s="93"/>
      <c r="E4" s="4">
        <v>1</v>
      </c>
      <c r="I4" s="88">
        <f ca="1">I5</f>
        <v>46223</v>
      </c>
      <c r="J4" s="89"/>
      <c r="K4" s="89"/>
      <c r="L4" s="89"/>
      <c r="M4" s="89"/>
      <c r="N4" s="89"/>
      <c r="O4" s="90"/>
      <c r="P4" s="88">
        <f ca="1">P5</f>
        <v>46230</v>
      </c>
      <c r="Q4" s="89"/>
      <c r="R4" s="89"/>
      <c r="S4" s="89"/>
      <c r="T4" s="89"/>
      <c r="U4" s="89"/>
      <c r="V4" s="90"/>
      <c r="W4" s="88">
        <f ca="1">W5</f>
        <v>46237</v>
      </c>
      <c r="X4" s="89"/>
      <c r="Y4" s="89"/>
      <c r="Z4" s="89"/>
      <c r="AA4" s="89"/>
      <c r="AB4" s="89"/>
      <c r="AC4" s="90"/>
      <c r="AD4" s="88">
        <f ca="1">AD5</f>
        <v>46244</v>
      </c>
      <c r="AE4" s="89"/>
      <c r="AF4" s="89"/>
      <c r="AG4" s="89"/>
      <c r="AH4" s="89"/>
      <c r="AI4" s="89"/>
      <c r="AJ4" s="90"/>
      <c r="AK4" s="88">
        <f ca="1">AK5</f>
        <v>46251</v>
      </c>
      <c r="AL4" s="89"/>
      <c r="AM4" s="89"/>
      <c r="AN4" s="89"/>
      <c r="AO4" s="89"/>
      <c r="AP4" s="89"/>
      <c r="AQ4" s="90"/>
      <c r="AR4" s="88">
        <f ca="1">AR5</f>
        <v>46258</v>
      </c>
      <c r="AS4" s="89"/>
      <c r="AT4" s="89"/>
      <c r="AU4" s="89"/>
      <c r="AV4" s="89"/>
      <c r="AW4" s="89"/>
      <c r="AX4" s="90"/>
      <c r="AY4" s="88">
        <f ca="1">AY5</f>
        <v>46265</v>
      </c>
      <c r="AZ4" s="89"/>
      <c r="BA4" s="89"/>
      <c r="BB4" s="89"/>
      <c r="BC4" s="89"/>
      <c r="BD4" s="89"/>
      <c r="BE4" s="90"/>
      <c r="BF4" s="88">
        <f ca="1">BF5</f>
        <v>46272</v>
      </c>
      <c r="BG4" s="89"/>
      <c r="BH4" s="89"/>
      <c r="BI4" s="89"/>
      <c r="BJ4" s="89"/>
      <c r="BK4" s="89"/>
      <c r="BL4" s="90"/>
    </row>
    <row r="5" spans="1:64" ht="15" customHeight="1" x14ac:dyDescent="0.3">
      <c r="A5" s="9" t="s">
        <v>4</v>
      </c>
      <c r="B5" s="94"/>
      <c r="C5" s="94"/>
      <c r="D5" s="94"/>
      <c r="E5" s="94"/>
      <c r="F5" s="94"/>
      <c r="G5" s="94"/>
      <c r="I5" s="61">
        <f ca="1">プロジェクト_開始-WEEKDAY(プロジェクト_開始,1)+2+7*(週_表示-1)</f>
        <v>46223</v>
      </c>
      <c r="J5" s="62">
        <f ca="1">I5+1</f>
        <v>46224</v>
      </c>
      <c r="K5" s="62">
        <f t="shared" ref="K5:AX5" ca="1" si="0">J5+1</f>
        <v>46225</v>
      </c>
      <c r="L5" s="62">
        <f t="shared" ca="1" si="0"/>
        <v>46226</v>
      </c>
      <c r="M5" s="62">
        <f t="shared" ca="1" si="0"/>
        <v>46227</v>
      </c>
      <c r="N5" s="62">
        <f t="shared" ca="1" si="0"/>
        <v>46228</v>
      </c>
      <c r="O5" s="63">
        <f t="shared" ca="1" si="0"/>
        <v>46229</v>
      </c>
      <c r="P5" s="61">
        <f ca="1">O5+1</f>
        <v>46230</v>
      </c>
      <c r="Q5" s="62">
        <f ca="1">P5+1</f>
        <v>46231</v>
      </c>
      <c r="R5" s="62">
        <f t="shared" ca="1" si="0"/>
        <v>46232</v>
      </c>
      <c r="S5" s="62">
        <f t="shared" ca="1" si="0"/>
        <v>46233</v>
      </c>
      <c r="T5" s="62">
        <f t="shared" ca="1" si="0"/>
        <v>46234</v>
      </c>
      <c r="U5" s="62">
        <f t="shared" ca="1" si="0"/>
        <v>46235</v>
      </c>
      <c r="V5" s="63">
        <f t="shared" ca="1" si="0"/>
        <v>46236</v>
      </c>
      <c r="W5" s="61">
        <f ca="1">V5+1</f>
        <v>46237</v>
      </c>
      <c r="X5" s="62">
        <f ca="1">W5+1</f>
        <v>46238</v>
      </c>
      <c r="Y5" s="62">
        <f t="shared" ca="1" si="0"/>
        <v>46239</v>
      </c>
      <c r="Z5" s="62">
        <f t="shared" ca="1" si="0"/>
        <v>46240</v>
      </c>
      <c r="AA5" s="62">
        <f t="shared" ca="1" si="0"/>
        <v>46241</v>
      </c>
      <c r="AB5" s="62">
        <f t="shared" ca="1" si="0"/>
        <v>46242</v>
      </c>
      <c r="AC5" s="63">
        <f t="shared" ca="1" si="0"/>
        <v>46243</v>
      </c>
      <c r="AD5" s="61">
        <f ca="1">AC5+1</f>
        <v>46244</v>
      </c>
      <c r="AE5" s="62">
        <f ca="1">AD5+1</f>
        <v>46245</v>
      </c>
      <c r="AF5" s="62">
        <f t="shared" ca="1" si="0"/>
        <v>46246</v>
      </c>
      <c r="AG5" s="62">
        <f t="shared" ca="1" si="0"/>
        <v>46247</v>
      </c>
      <c r="AH5" s="62">
        <f t="shared" ca="1" si="0"/>
        <v>46248</v>
      </c>
      <c r="AI5" s="62">
        <f t="shared" ca="1" si="0"/>
        <v>46249</v>
      </c>
      <c r="AJ5" s="63">
        <f t="shared" ca="1" si="0"/>
        <v>46250</v>
      </c>
      <c r="AK5" s="61">
        <f ca="1">AJ5+1</f>
        <v>46251</v>
      </c>
      <c r="AL5" s="62">
        <f ca="1">AK5+1</f>
        <v>46252</v>
      </c>
      <c r="AM5" s="62">
        <f t="shared" ca="1" si="0"/>
        <v>46253</v>
      </c>
      <c r="AN5" s="62">
        <f t="shared" ca="1" si="0"/>
        <v>46254</v>
      </c>
      <c r="AO5" s="62">
        <f t="shared" ca="1" si="0"/>
        <v>46255</v>
      </c>
      <c r="AP5" s="62">
        <f t="shared" ca="1" si="0"/>
        <v>46256</v>
      </c>
      <c r="AQ5" s="63">
        <f t="shared" ca="1" si="0"/>
        <v>46257</v>
      </c>
      <c r="AR5" s="61">
        <f ca="1">AQ5+1</f>
        <v>46258</v>
      </c>
      <c r="AS5" s="62">
        <f ca="1">AR5+1</f>
        <v>46259</v>
      </c>
      <c r="AT5" s="62">
        <f t="shared" ca="1" si="0"/>
        <v>46260</v>
      </c>
      <c r="AU5" s="62">
        <f t="shared" ca="1" si="0"/>
        <v>46261</v>
      </c>
      <c r="AV5" s="62">
        <f t="shared" ca="1" si="0"/>
        <v>46262</v>
      </c>
      <c r="AW5" s="62">
        <f t="shared" ca="1" si="0"/>
        <v>46263</v>
      </c>
      <c r="AX5" s="63">
        <f t="shared" ca="1" si="0"/>
        <v>46264</v>
      </c>
      <c r="AY5" s="61">
        <f ca="1">AX5+1</f>
        <v>46265</v>
      </c>
      <c r="AZ5" s="62">
        <f ca="1">AY5+1</f>
        <v>46266</v>
      </c>
      <c r="BA5" s="62">
        <f t="shared" ref="BA5:BE5" ca="1" si="1">AZ5+1</f>
        <v>46267</v>
      </c>
      <c r="BB5" s="62">
        <f t="shared" ca="1" si="1"/>
        <v>46268</v>
      </c>
      <c r="BC5" s="62">
        <f t="shared" ca="1" si="1"/>
        <v>46269</v>
      </c>
      <c r="BD5" s="62">
        <f t="shared" ca="1" si="1"/>
        <v>46270</v>
      </c>
      <c r="BE5" s="63">
        <f t="shared" ca="1" si="1"/>
        <v>46271</v>
      </c>
      <c r="BF5" s="61">
        <f ca="1">BE5+1</f>
        <v>46272</v>
      </c>
      <c r="BG5" s="62">
        <f ca="1">BF5+1</f>
        <v>46273</v>
      </c>
      <c r="BH5" s="62">
        <f t="shared" ref="BH5:BL5" ca="1" si="2">BG5+1</f>
        <v>46274</v>
      </c>
      <c r="BI5" s="62">
        <f t="shared" ca="1" si="2"/>
        <v>46275</v>
      </c>
      <c r="BJ5" s="62">
        <f t="shared" ca="1" si="2"/>
        <v>46276</v>
      </c>
      <c r="BK5" s="62">
        <f t="shared" ca="1" si="2"/>
        <v>46277</v>
      </c>
      <c r="BL5" s="63">
        <f t="shared" ca="1" si="2"/>
        <v>46278</v>
      </c>
    </row>
    <row r="6" spans="1:64" ht="30" customHeight="1" thickBot="1" x14ac:dyDescent="0.35">
      <c r="A6" s="9" t="s">
        <v>5</v>
      </c>
      <c r="B6" s="31" t="s">
        <v>10</v>
      </c>
      <c r="C6" s="32" t="s">
        <v>13</v>
      </c>
      <c r="D6" s="32" t="s">
        <v>14</v>
      </c>
      <c r="E6" s="32" t="s">
        <v>15</v>
      </c>
      <c r="F6" s="32" t="s">
        <v>16</v>
      </c>
      <c r="G6" s="32"/>
      <c r="H6" s="32" t="s">
        <v>17</v>
      </c>
      <c r="I6" s="33" t="str">
        <f t="shared" ref="I6:AN6" ca="1" si="3">LEFT(TEXT(I5,"aaa"),1)</f>
        <v>月</v>
      </c>
      <c r="J6" s="33" t="str">
        <f t="shared" ca="1" si="3"/>
        <v>火</v>
      </c>
      <c r="K6" s="33" t="str">
        <f t="shared" ca="1" si="3"/>
        <v>水</v>
      </c>
      <c r="L6" s="33" t="str">
        <f t="shared" ca="1" si="3"/>
        <v>木</v>
      </c>
      <c r="M6" s="33" t="str">
        <f t="shared" ca="1" si="3"/>
        <v>金</v>
      </c>
      <c r="N6" s="33" t="str">
        <f t="shared" ca="1" si="3"/>
        <v>土</v>
      </c>
      <c r="O6" s="33" t="str">
        <f t="shared" ca="1" si="3"/>
        <v>日</v>
      </c>
      <c r="P6" s="33" t="str">
        <f t="shared" ca="1" si="3"/>
        <v>月</v>
      </c>
      <c r="Q6" s="33" t="str">
        <f t="shared" ca="1" si="3"/>
        <v>火</v>
      </c>
      <c r="R6" s="33" t="str">
        <f t="shared" ca="1" si="3"/>
        <v>水</v>
      </c>
      <c r="S6" s="33" t="str">
        <f t="shared" ca="1" si="3"/>
        <v>木</v>
      </c>
      <c r="T6" s="33" t="str">
        <f t="shared" ca="1" si="3"/>
        <v>金</v>
      </c>
      <c r="U6" s="33" t="str">
        <f t="shared" ca="1" si="3"/>
        <v>土</v>
      </c>
      <c r="V6" s="33" t="str">
        <f t="shared" ca="1" si="3"/>
        <v>日</v>
      </c>
      <c r="W6" s="33" t="str">
        <f t="shared" ca="1" si="3"/>
        <v>月</v>
      </c>
      <c r="X6" s="33" t="str">
        <f t="shared" ca="1" si="3"/>
        <v>火</v>
      </c>
      <c r="Y6" s="33" t="str">
        <f t="shared" ca="1" si="3"/>
        <v>水</v>
      </c>
      <c r="Z6" s="33" t="str">
        <f t="shared" ca="1" si="3"/>
        <v>木</v>
      </c>
      <c r="AA6" s="33" t="str">
        <f t="shared" ca="1" si="3"/>
        <v>金</v>
      </c>
      <c r="AB6" s="33" t="str">
        <f t="shared" ca="1" si="3"/>
        <v>土</v>
      </c>
      <c r="AC6" s="33" t="str">
        <f t="shared" ca="1" si="3"/>
        <v>日</v>
      </c>
      <c r="AD6" s="33" t="str">
        <f t="shared" ca="1" si="3"/>
        <v>月</v>
      </c>
      <c r="AE6" s="33" t="str">
        <f t="shared" ca="1" si="3"/>
        <v>火</v>
      </c>
      <c r="AF6" s="33" t="str">
        <f t="shared" ca="1" si="3"/>
        <v>水</v>
      </c>
      <c r="AG6" s="33" t="str">
        <f t="shared" ca="1" si="3"/>
        <v>木</v>
      </c>
      <c r="AH6" s="33" t="str">
        <f t="shared" ca="1" si="3"/>
        <v>金</v>
      </c>
      <c r="AI6" s="33" t="str">
        <f t="shared" ca="1" si="3"/>
        <v>土</v>
      </c>
      <c r="AJ6" s="33" t="str">
        <f t="shared" ca="1" si="3"/>
        <v>日</v>
      </c>
      <c r="AK6" s="33" t="str">
        <f t="shared" ca="1" si="3"/>
        <v>月</v>
      </c>
      <c r="AL6" s="33" t="str">
        <f t="shared" ca="1" si="3"/>
        <v>火</v>
      </c>
      <c r="AM6" s="33" t="str">
        <f t="shared" ca="1" si="3"/>
        <v>水</v>
      </c>
      <c r="AN6" s="33" t="str">
        <f t="shared" ca="1" si="3"/>
        <v>木</v>
      </c>
      <c r="AO6" s="33" t="str">
        <f t="shared" ref="AO6:BL6" ca="1" si="4">LEFT(TEXT(AO5,"aaa"),1)</f>
        <v>金</v>
      </c>
      <c r="AP6" s="33" t="str">
        <f t="shared" ca="1" si="4"/>
        <v>土</v>
      </c>
      <c r="AQ6" s="33" t="str">
        <f t="shared" ca="1" si="4"/>
        <v>日</v>
      </c>
      <c r="AR6" s="33" t="str">
        <f t="shared" ca="1" si="4"/>
        <v>月</v>
      </c>
      <c r="AS6" s="33" t="str">
        <f t="shared" ca="1" si="4"/>
        <v>火</v>
      </c>
      <c r="AT6" s="33" t="str">
        <f t="shared" ca="1" si="4"/>
        <v>水</v>
      </c>
      <c r="AU6" s="33" t="str">
        <f t="shared" ca="1" si="4"/>
        <v>木</v>
      </c>
      <c r="AV6" s="33" t="str">
        <f t="shared" ca="1" si="4"/>
        <v>金</v>
      </c>
      <c r="AW6" s="33" t="str">
        <f t="shared" ca="1" si="4"/>
        <v>土</v>
      </c>
      <c r="AX6" s="33" t="str">
        <f t="shared" ca="1" si="4"/>
        <v>日</v>
      </c>
      <c r="AY6" s="33" t="str">
        <f t="shared" ca="1" si="4"/>
        <v>月</v>
      </c>
      <c r="AZ6" s="33" t="str">
        <f t="shared" ca="1" si="4"/>
        <v>火</v>
      </c>
      <c r="BA6" s="33" t="str">
        <f t="shared" ca="1" si="4"/>
        <v>水</v>
      </c>
      <c r="BB6" s="33" t="str">
        <f t="shared" ca="1" si="4"/>
        <v>木</v>
      </c>
      <c r="BC6" s="33" t="str">
        <f t="shared" ca="1" si="4"/>
        <v>金</v>
      </c>
      <c r="BD6" s="33" t="str">
        <f t="shared" ca="1" si="4"/>
        <v>土</v>
      </c>
      <c r="BE6" s="33" t="str">
        <f t="shared" ca="1" si="4"/>
        <v>日</v>
      </c>
      <c r="BF6" s="33" t="str">
        <f t="shared" ca="1" si="4"/>
        <v>月</v>
      </c>
      <c r="BG6" s="33" t="str">
        <f t="shared" ca="1" si="4"/>
        <v>火</v>
      </c>
      <c r="BH6" s="33" t="str">
        <f t="shared" ca="1" si="4"/>
        <v>水</v>
      </c>
      <c r="BI6" s="33" t="str">
        <f t="shared" ca="1" si="4"/>
        <v>木</v>
      </c>
      <c r="BJ6" s="33" t="str">
        <f t="shared" ca="1" si="4"/>
        <v>金</v>
      </c>
      <c r="BK6" s="33" t="str">
        <f t="shared" ca="1" si="4"/>
        <v>土</v>
      </c>
      <c r="BL6" s="33" t="str">
        <f t="shared" ca="1" si="4"/>
        <v>日</v>
      </c>
    </row>
    <row r="7" spans="1:64" ht="30" hidden="1" customHeight="1" thickBot="1" x14ac:dyDescent="0.35">
      <c r="A7" s="8" t="s">
        <v>6</v>
      </c>
      <c r="C7" s="10"/>
      <c r="E7"/>
      <c r="H7" t="str">
        <f>IF(OR(ISBLANK(タスク_開始),ISBLANK(タスク_終了)),"",タスク_終了-タスク_開始+1)</f>
        <v/>
      </c>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row>
    <row r="8" spans="1:64" s="1" customFormat="1" ht="30" customHeight="1" thickBot="1" x14ac:dyDescent="0.35">
      <c r="A8" s="8" t="s">
        <v>7</v>
      </c>
      <c r="B8" s="36" t="s">
        <v>34</v>
      </c>
      <c r="C8" s="16"/>
      <c r="D8" s="37"/>
      <c r="E8" s="67"/>
      <c r="F8" s="68"/>
      <c r="G8" s="34"/>
      <c r="H8" s="34" t="str">
        <f t="shared" ref="H8:H37" si="5">IF(OR(ISBLANK(タスク_開始),ISBLANK(タスク_終了)),"",タスク_終了-タスク_開始+1)</f>
        <v/>
      </c>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row>
    <row r="9" spans="1:64" s="1" customFormat="1" ht="30" customHeight="1" thickBot="1" x14ac:dyDescent="0.35">
      <c r="A9" s="8"/>
      <c r="B9" s="22" t="s">
        <v>53</v>
      </c>
      <c r="C9" s="17"/>
      <c r="D9" s="38">
        <v>1</v>
      </c>
      <c r="E9" s="69">
        <v>46221</v>
      </c>
      <c r="F9" s="69">
        <f>E9+8</f>
        <v>46229</v>
      </c>
      <c r="G9" s="34"/>
      <c r="H9" s="34"/>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row>
    <row r="10" spans="1:64" s="1" customFormat="1" ht="30" customHeight="1" thickBot="1" x14ac:dyDescent="0.35">
      <c r="A10" s="8"/>
      <c r="B10" s="22" t="s">
        <v>37</v>
      </c>
      <c r="C10" s="17"/>
      <c r="D10" s="38">
        <v>1</v>
      </c>
      <c r="E10" s="69">
        <v>46229</v>
      </c>
      <c r="F10" s="69">
        <f>E10+2</f>
        <v>46231</v>
      </c>
      <c r="G10" s="34"/>
      <c r="H10" s="34">
        <f t="shared" si="5"/>
        <v>3</v>
      </c>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row>
    <row r="11" spans="1:64" s="1" customFormat="1" ht="30" customHeight="1" thickBot="1" x14ac:dyDescent="0.35">
      <c r="A11" s="8"/>
      <c r="B11" s="22" t="s">
        <v>38</v>
      </c>
      <c r="C11" s="17"/>
      <c r="D11" s="38">
        <v>1</v>
      </c>
      <c r="E11" s="69">
        <v>46222</v>
      </c>
      <c r="F11" s="69">
        <f>E11+13</f>
        <v>46235</v>
      </c>
      <c r="G11" s="34"/>
      <c r="H11" s="34">
        <f t="shared" si="5"/>
        <v>14</v>
      </c>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row>
    <row r="12" spans="1:64" s="1" customFormat="1" ht="30" customHeight="1" thickBot="1" x14ac:dyDescent="0.35">
      <c r="A12" s="8"/>
      <c r="B12" s="22" t="s">
        <v>39</v>
      </c>
      <c r="C12" s="17"/>
      <c r="D12" s="38">
        <v>1</v>
      </c>
      <c r="E12" s="69">
        <v>46222</v>
      </c>
      <c r="F12" s="69">
        <f>E12+6</f>
        <v>46228</v>
      </c>
      <c r="G12" s="34"/>
      <c r="H12" s="34">
        <f t="shared" si="5"/>
        <v>7</v>
      </c>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row>
    <row r="13" spans="1:64" s="1" customFormat="1" ht="30" customHeight="1" thickBot="1" x14ac:dyDescent="0.35">
      <c r="A13" s="8"/>
      <c r="B13" s="22" t="s">
        <v>41</v>
      </c>
      <c r="C13" s="17"/>
      <c r="D13" s="38">
        <v>1</v>
      </c>
      <c r="E13" s="69">
        <v>46228</v>
      </c>
      <c r="F13" s="69">
        <f>E13+1</f>
        <v>46229</v>
      </c>
      <c r="G13" s="34"/>
      <c r="H13" s="34">
        <f t="shared" si="5"/>
        <v>2</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row>
    <row r="14" spans="1:64" s="1" customFormat="1" ht="30" customHeight="1" thickBot="1" x14ac:dyDescent="0.35">
      <c r="A14" s="8" t="s">
        <v>7</v>
      </c>
      <c r="B14" s="39" t="s">
        <v>35</v>
      </c>
      <c r="C14" s="18"/>
      <c r="D14" s="40"/>
      <c r="E14" s="5"/>
      <c r="F14" s="41"/>
      <c r="G14" s="34"/>
      <c r="H14" s="34" t="str">
        <f t="shared" si="5"/>
        <v/>
      </c>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row>
    <row r="15" spans="1:64" s="1" customFormat="1" ht="30" customHeight="1" thickBot="1" x14ac:dyDescent="0.35">
      <c r="A15" s="8"/>
      <c r="B15" s="23" t="s">
        <v>40</v>
      </c>
      <c r="C15" s="19"/>
      <c r="D15" s="42"/>
      <c r="E15" s="66">
        <v>46235</v>
      </c>
      <c r="F15" s="66">
        <f>E15+30</f>
        <v>46265</v>
      </c>
      <c r="G15" s="34"/>
      <c r="H15" s="34">
        <f t="shared" si="5"/>
        <v>31</v>
      </c>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row>
    <row r="16" spans="1:64" s="1" customFormat="1" ht="30" customHeight="1" thickBot="1" x14ac:dyDescent="0.35">
      <c r="A16" s="8"/>
      <c r="B16" s="83" t="s">
        <v>62</v>
      </c>
      <c r="C16" s="84"/>
      <c r="D16" s="85"/>
      <c r="E16" s="86"/>
      <c r="F16" s="86"/>
      <c r="G16" s="34"/>
      <c r="H16" s="34"/>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row>
    <row r="17" spans="1:64" s="1" customFormat="1" ht="30" customHeight="1" thickBot="1" x14ac:dyDescent="0.35">
      <c r="A17" s="8"/>
      <c r="B17" s="23" t="s">
        <v>63</v>
      </c>
      <c r="C17" s="19"/>
      <c r="D17" s="42"/>
      <c r="E17" s="66">
        <v>46235</v>
      </c>
      <c r="F17" s="66">
        <v>46236</v>
      </c>
      <c r="G17" s="34"/>
      <c r="H17" s="34"/>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row>
    <row r="18" spans="1:64" s="1" customFormat="1" ht="30" customHeight="1" thickBot="1" x14ac:dyDescent="0.35">
      <c r="A18" s="8"/>
      <c r="B18" s="79" t="s">
        <v>54</v>
      </c>
      <c r="C18" s="80"/>
      <c r="D18" s="81"/>
      <c r="E18" s="82"/>
      <c r="F18" s="82"/>
      <c r="G18" s="34"/>
      <c r="H18" s="34"/>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row>
    <row r="19" spans="1:64" s="1" customFormat="1" ht="30" customHeight="1" thickBot="1" x14ac:dyDescent="0.35">
      <c r="A19" s="8"/>
      <c r="B19" s="21" t="s">
        <v>58</v>
      </c>
      <c r="C19" s="15"/>
      <c r="D19" s="35"/>
      <c r="E19" s="66">
        <v>46236</v>
      </c>
      <c r="F19" s="66">
        <v>46242</v>
      </c>
      <c r="G19" s="34"/>
      <c r="H19" s="34"/>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row>
    <row r="20" spans="1:64" s="1" customFormat="1" ht="30" customHeight="1" thickBot="1" x14ac:dyDescent="0.35">
      <c r="A20" s="8"/>
      <c r="B20" s="21" t="s">
        <v>60</v>
      </c>
      <c r="C20" s="15"/>
      <c r="D20" s="35"/>
      <c r="E20" s="66">
        <v>46243</v>
      </c>
      <c r="F20" s="66">
        <v>46243</v>
      </c>
      <c r="G20" s="34"/>
      <c r="H20" s="34"/>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row>
    <row r="21" spans="1:64" s="1" customFormat="1" ht="30" customHeight="1" thickBot="1" x14ac:dyDescent="0.35">
      <c r="A21" s="8"/>
      <c r="B21" s="21" t="s">
        <v>61</v>
      </c>
      <c r="C21" s="15"/>
      <c r="D21" s="35"/>
      <c r="E21" s="66">
        <v>46244</v>
      </c>
      <c r="F21" s="66">
        <v>46251</v>
      </c>
      <c r="G21" s="34"/>
      <c r="H21" s="34"/>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row>
    <row r="22" spans="1:64" s="1" customFormat="1" ht="30" customHeight="1" thickBot="1" x14ac:dyDescent="0.35">
      <c r="A22" s="8"/>
      <c r="B22" s="21" t="s">
        <v>59</v>
      </c>
      <c r="C22" s="15"/>
      <c r="D22" s="35"/>
      <c r="E22" s="66">
        <v>46251</v>
      </c>
      <c r="F22" s="66">
        <v>46251</v>
      </c>
      <c r="G22" s="34"/>
      <c r="H22" s="34"/>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row>
    <row r="23" spans="1:64" s="1" customFormat="1" ht="30" customHeight="1" thickBot="1" x14ac:dyDescent="0.35">
      <c r="A23" s="8"/>
      <c r="B23" s="21" t="s">
        <v>46</v>
      </c>
      <c r="C23" s="15"/>
      <c r="D23" s="35"/>
      <c r="E23" s="66">
        <v>46252</v>
      </c>
      <c r="F23" s="66">
        <v>46254</v>
      </c>
      <c r="G23" s="34"/>
      <c r="H23" s="34"/>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row>
    <row r="24" spans="1:64" s="1" customFormat="1" ht="30" customHeight="1" thickBot="1" x14ac:dyDescent="0.35">
      <c r="A24" s="8"/>
      <c r="B24" s="21" t="s">
        <v>55</v>
      </c>
      <c r="C24" s="15"/>
      <c r="D24" s="35"/>
      <c r="E24" s="66">
        <v>46254</v>
      </c>
      <c r="F24" s="66">
        <v>46255</v>
      </c>
      <c r="G24" s="34"/>
      <c r="H24" s="34"/>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row>
    <row r="25" spans="1:64" s="1" customFormat="1" ht="30" customHeight="1" thickBot="1" x14ac:dyDescent="0.35">
      <c r="A25" s="8"/>
      <c r="B25" s="78" t="s">
        <v>44</v>
      </c>
      <c r="C25" s="75"/>
      <c r="D25" s="76"/>
      <c r="E25" s="77"/>
      <c r="F25" s="77"/>
      <c r="G25" s="34"/>
      <c r="H25" s="34" t="str">
        <f t="shared" si="5"/>
        <v/>
      </c>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row>
    <row r="26" spans="1:64" s="1" customFormat="1" ht="30" customHeight="1" thickBot="1" x14ac:dyDescent="0.35">
      <c r="A26" s="8"/>
      <c r="B26" s="23" t="s">
        <v>42</v>
      </c>
      <c r="C26" s="19"/>
      <c r="D26" s="42"/>
      <c r="E26" s="66">
        <v>46256</v>
      </c>
      <c r="F26" s="66">
        <v>46256</v>
      </c>
      <c r="G26" s="34"/>
      <c r="H26" s="34"/>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row>
    <row r="27" spans="1:64" s="1" customFormat="1" ht="30" customHeight="1" thickBot="1" x14ac:dyDescent="0.35">
      <c r="A27" s="8"/>
      <c r="B27" s="23" t="s">
        <v>43</v>
      </c>
      <c r="C27" s="19"/>
      <c r="D27" s="42"/>
      <c r="E27" s="66">
        <v>46256</v>
      </c>
      <c r="F27" s="66">
        <v>46256</v>
      </c>
      <c r="G27" s="34"/>
      <c r="H27" s="34"/>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row>
    <row r="28" spans="1:64" s="1" customFormat="1" ht="30" customHeight="1" thickBot="1" x14ac:dyDescent="0.35">
      <c r="A28" s="8"/>
      <c r="B28" s="23" t="s">
        <v>45</v>
      </c>
      <c r="C28" s="19"/>
      <c r="D28" s="42"/>
      <c r="E28" s="66">
        <v>46256</v>
      </c>
      <c r="F28" s="66">
        <v>46256</v>
      </c>
      <c r="G28" s="34"/>
      <c r="H28" s="34"/>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row>
    <row r="29" spans="1:64" s="1" customFormat="1" ht="30" customHeight="1" thickBot="1" x14ac:dyDescent="0.35">
      <c r="A29" s="8" t="s">
        <v>7</v>
      </c>
      <c r="B29" s="70" t="s">
        <v>47</v>
      </c>
      <c r="C29" s="71"/>
      <c r="D29" s="72"/>
      <c r="E29" s="73"/>
      <c r="F29" s="74"/>
      <c r="G29" s="34"/>
      <c r="H29" s="34" t="str">
        <f t="shared" si="5"/>
        <v/>
      </c>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row>
    <row r="30" spans="1:64" s="1" customFormat="1" ht="30" customHeight="1" thickBot="1" x14ac:dyDescent="0.35">
      <c r="A30" s="8"/>
      <c r="B30" s="21" t="s">
        <v>48</v>
      </c>
      <c r="C30" s="15"/>
      <c r="D30" s="35"/>
      <c r="E30" s="66">
        <v>46258</v>
      </c>
      <c r="F30" s="66">
        <v>46258</v>
      </c>
      <c r="G30" s="34"/>
      <c r="H30" s="34">
        <f t="shared" si="5"/>
        <v>1</v>
      </c>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row>
    <row r="31" spans="1:64" s="1" customFormat="1" ht="30" customHeight="1" thickBot="1" x14ac:dyDescent="0.35">
      <c r="A31" s="8"/>
      <c r="B31" s="21" t="s">
        <v>57</v>
      </c>
      <c r="C31" s="15"/>
      <c r="D31" s="35"/>
      <c r="E31" s="66">
        <v>46258</v>
      </c>
      <c r="F31" s="66">
        <v>46258</v>
      </c>
      <c r="G31" s="34"/>
      <c r="H31" s="34"/>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row>
    <row r="32" spans="1:64" s="1" customFormat="1" ht="30" customHeight="1" thickBot="1" x14ac:dyDescent="0.35">
      <c r="A32" s="8"/>
      <c r="B32" s="21" t="s">
        <v>56</v>
      </c>
      <c r="C32" s="15"/>
      <c r="D32" s="35"/>
      <c r="E32" s="66">
        <v>46258</v>
      </c>
      <c r="F32" s="66">
        <v>46258</v>
      </c>
      <c r="G32" s="34"/>
      <c r="H32" s="34">
        <f t="shared" si="5"/>
        <v>1</v>
      </c>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row>
    <row r="33" spans="1:64" s="1" customFormat="1" ht="30" customHeight="1" thickBot="1" x14ac:dyDescent="0.35">
      <c r="A33" s="8"/>
      <c r="B33" s="87" t="s">
        <v>49</v>
      </c>
      <c r="C33" s="87"/>
      <c r="D33" s="87"/>
      <c r="E33" s="87"/>
      <c r="F33" s="87"/>
      <c r="G33" s="34"/>
      <c r="H33" s="34" t="str">
        <f t="shared" si="5"/>
        <v/>
      </c>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row>
    <row r="34" spans="1:64" s="1" customFormat="1" ht="30" customHeight="1" thickBot="1" x14ac:dyDescent="0.35">
      <c r="A34" s="8"/>
      <c r="B34" s="21" t="s">
        <v>50</v>
      </c>
      <c r="C34" s="15"/>
      <c r="D34" s="35"/>
      <c r="E34" s="66">
        <v>46259</v>
      </c>
      <c r="F34" s="66">
        <v>46263</v>
      </c>
      <c r="G34" s="34"/>
      <c r="H34" s="34">
        <f t="shared" si="5"/>
        <v>5</v>
      </c>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row>
    <row r="35" spans="1:64" s="1" customFormat="1" ht="30" customHeight="1" thickBot="1" x14ac:dyDescent="0.35">
      <c r="A35" s="8"/>
      <c r="B35" s="21" t="s">
        <v>51</v>
      </c>
      <c r="C35" s="15"/>
      <c r="D35" s="35"/>
      <c r="E35" s="66">
        <v>46264</v>
      </c>
      <c r="F35" s="66">
        <v>46265</v>
      </c>
      <c r="G35" s="34"/>
      <c r="H35" s="34">
        <f t="shared" si="5"/>
        <v>2</v>
      </c>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row>
    <row r="36" spans="1:64" s="1" customFormat="1" ht="30" customHeight="1" thickBot="1" x14ac:dyDescent="0.35">
      <c r="A36" s="8" t="s">
        <v>8</v>
      </c>
      <c r="B36" s="24"/>
      <c r="C36" s="20"/>
      <c r="D36" s="43"/>
      <c r="E36" s="14"/>
      <c r="F36" s="14"/>
      <c r="G36" s="34"/>
      <c r="H36" s="34" t="str">
        <f t="shared" si="5"/>
        <v/>
      </c>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row>
    <row r="37" spans="1:64" s="1" customFormat="1" ht="30" customHeight="1" thickBot="1" x14ac:dyDescent="0.35">
      <c r="A37" s="9" t="s">
        <v>9</v>
      </c>
      <c r="B37" s="65" t="s">
        <v>36</v>
      </c>
      <c r="C37" s="44"/>
      <c r="D37" s="45"/>
      <c r="E37" s="64"/>
      <c r="F37" s="46"/>
      <c r="G37" s="47"/>
      <c r="H37" s="47" t="str">
        <f t="shared" si="5"/>
        <v/>
      </c>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row>
    <row r="38" spans="1:64" ht="30" customHeight="1" x14ac:dyDescent="0.3">
      <c r="G38" s="3"/>
    </row>
    <row r="39" spans="1:64" ht="30" customHeight="1" x14ac:dyDescent="0.3">
      <c r="C39" s="29"/>
      <c r="F39" s="48"/>
    </row>
    <row r="40" spans="1:64" ht="30" customHeight="1" x14ac:dyDescent="0.3">
      <c r="C40" s="49"/>
    </row>
  </sheetData>
  <mergeCells count="13">
    <mergeCell ref="B33:F33"/>
    <mergeCell ref="AY4:BE4"/>
    <mergeCell ref="BF4:BL4"/>
    <mergeCell ref="E3:F3"/>
    <mergeCell ref="I4:O4"/>
    <mergeCell ref="P4:V4"/>
    <mergeCell ref="W4:AC4"/>
    <mergeCell ref="AD4:AJ4"/>
    <mergeCell ref="C3:D3"/>
    <mergeCell ref="C4:D4"/>
    <mergeCell ref="B5:G5"/>
    <mergeCell ref="AK4:AQ4"/>
    <mergeCell ref="AR4:AX4"/>
  </mergeCells>
  <phoneticPr fontId="37"/>
  <conditionalFormatting sqref="D34:D35 D7:D32">
    <cfRule type="dataBar" priority="1">
      <dataBar>
        <cfvo type="num" val="0"/>
        <cfvo type="num" val="1"/>
        <color theme="0" tint="-0.249977111117893"/>
      </dataBar>
      <extLst>
        <ext xmlns:x14="http://schemas.microsoft.com/office/spreadsheetml/2009/9/main" uri="{B025F937-C7B1-47D3-B67F-A62EFF666E3E}">
          <x14:id>{2BEFFF1A-CBFD-BE4D-A40D-AECC2B5F734D}</x14:id>
        </ext>
      </extLst>
    </cfRule>
  </conditionalFormatting>
  <conditionalFormatting sqref="D36:D37">
    <cfRule type="dataBar" priority="18">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7">
    <cfRule type="expression" dxfId="2" priority="4">
      <formula>AND(TODAY()&gt;=I$5,TODAY()&lt;J$5)</formula>
    </cfRule>
  </conditionalFormatting>
  <conditionalFormatting sqref="I7:BL37">
    <cfRule type="expression" dxfId="1" priority="2">
      <formula>AND(タスク_開始&lt;=I$5,ROUNDDOWN((タスク_終了-タスク_開始+1)*タスク_進捗状況,0)+タスク_開始-1&gt;=I$5)</formula>
    </cfRule>
    <cfRule type="expression" dxfId="0" priority="3" stopIfTrue="1">
      <formula>AND(タスク_終了&gt;=I$5,タスク_開始&lt;J$5)</formula>
    </cfRule>
  </conditionalFormatting>
  <dataValidations count="1">
    <dataValidation type="whole" operator="greaterThanOrEqual" allowBlank="1" showInputMessage="1" promptTitle="週表示" prompt="この数字を変更すると、ガント チャート ビューがスクロールされます。"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0"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2BEFFF1A-CBFD-BE4D-A40D-AECC2B5F734D}">
            <x14:dataBar minLength="0" maxLength="100" gradient="0">
              <x14:cfvo type="num">
                <xm:f>0</xm:f>
              </x14:cfvo>
              <x14:cfvo type="num">
                <xm:f>1</xm:f>
              </x14:cfvo>
              <x14:negativeFillColor rgb="FFFF0000"/>
              <x14:axisColor rgb="FF000000"/>
            </x14:dataBar>
          </x14:cfRule>
          <xm:sqref>D34:D35 D7:D32</xm:sqref>
        </x14:conditionalFormatting>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D36:D37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16"/>
  <sheetViews>
    <sheetView showGridLines="0" zoomScaleNormal="100" workbookViewId="0"/>
  </sheetViews>
  <sheetFormatPr defaultColWidth="9.26953125" defaultRowHeight="14.4" x14ac:dyDescent="0.3"/>
  <cols>
    <col min="1" max="1" width="87.26953125" style="50" customWidth="1"/>
    <col min="2" max="16384" width="9.26953125" style="51"/>
  </cols>
  <sheetData>
    <row r="1" spans="1:2" ht="46.5" customHeight="1" x14ac:dyDescent="0.3"/>
    <row r="2" spans="1:2" s="53" customFormat="1" ht="16.2" x14ac:dyDescent="0.3">
      <c r="A2" s="52" t="s">
        <v>18</v>
      </c>
      <c r="B2" s="52"/>
    </row>
    <row r="3" spans="1:2" s="55" customFormat="1" ht="27" customHeight="1" x14ac:dyDescent="0.3">
      <c r="A3" s="54" t="s">
        <v>19</v>
      </c>
      <c r="B3" s="54"/>
    </row>
    <row r="4" spans="1:2" s="57" customFormat="1" ht="27" x14ac:dyDescent="0.5">
      <c r="A4" s="56" t="s">
        <v>20</v>
      </c>
    </row>
    <row r="5" spans="1:2" ht="73.95" customHeight="1" x14ac:dyDescent="0.3">
      <c r="A5" s="58" t="s">
        <v>21</v>
      </c>
    </row>
    <row r="6" spans="1:2" ht="26.25" customHeight="1" x14ac:dyDescent="0.3">
      <c r="A6" s="56" t="s">
        <v>22</v>
      </c>
    </row>
    <row r="7" spans="1:2" s="50" customFormat="1" ht="205.05" customHeight="1" x14ac:dyDescent="0.3">
      <c r="A7" s="59" t="s">
        <v>23</v>
      </c>
    </row>
    <row r="8" spans="1:2" s="57" customFormat="1" ht="27" x14ac:dyDescent="0.5">
      <c r="A8" s="56" t="s">
        <v>24</v>
      </c>
    </row>
    <row r="9" spans="1:2" ht="49.5" customHeight="1" x14ac:dyDescent="0.3">
      <c r="A9" s="58" t="s">
        <v>25</v>
      </c>
    </row>
    <row r="10" spans="1:2" s="50" customFormat="1" ht="28.05" customHeight="1" x14ac:dyDescent="0.3">
      <c r="A10" s="60" t="s">
        <v>26</v>
      </c>
    </row>
    <row r="11" spans="1:2" s="57" customFormat="1" ht="27" x14ac:dyDescent="0.5">
      <c r="A11" s="56" t="s">
        <v>27</v>
      </c>
    </row>
    <row r="12" spans="1:2" ht="36" customHeight="1" x14ac:dyDescent="0.3">
      <c r="A12" s="58" t="s">
        <v>28</v>
      </c>
    </row>
    <row r="13" spans="1:2" s="50" customFormat="1" ht="28.05" customHeight="1" x14ac:dyDescent="0.3">
      <c r="A13" s="60" t="s">
        <v>29</v>
      </c>
    </row>
    <row r="14" spans="1:2" s="57" customFormat="1" ht="27" x14ac:dyDescent="0.5">
      <c r="A14" s="56" t="s">
        <v>30</v>
      </c>
    </row>
    <row r="15" spans="1:2" ht="58.5" customHeight="1" x14ac:dyDescent="0.3">
      <c r="A15" s="58" t="s">
        <v>31</v>
      </c>
    </row>
    <row r="16" spans="1:2" ht="45" x14ac:dyDescent="0.3">
      <c r="A16" s="58" t="s">
        <v>32</v>
      </c>
    </row>
  </sheetData>
  <phoneticPr fontId="37"/>
  <hyperlinks>
    <hyperlink ref="A13" r:id="rId1" xr:uid="{00000000-0004-0000-0100-000000000000}"/>
    <hyperlink ref="A10" r:id="rId2" xr:uid="{00000000-0004-0000-0100-000001000000}"/>
    <hyperlink ref="A3" r:id="rId3" xr:uid="{00000000-0004-0000-0100-000002000000}"/>
    <hyperlink ref="A2" r:id="rId4" xr:uid="{00000000-0004-0000-0100-000003000000}"/>
  </hyperlinks>
  <printOptions horizontalCentered="1"/>
  <pageMargins left="0.35" right="0.35" top="0.35" bottom="0.5" header="0.3" footer="0.3"/>
  <pageSetup paperSize="9" fitToHeight="0" orientation="landscape" r:id="rId5"/>
  <headerFooter differentFirst="1" scaleWithDoc="0">
    <oddFooter>Page &amp;P of &amp;N</oddFooter>
  </headerFooter>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6</vt:i4>
      </vt:variant>
    </vt:vector>
  </HeadingPairs>
  <TitlesOfParts>
    <vt:vector size="8" baseType="lpstr">
      <vt:lpstr>プロジェクトのスケジュール</vt:lpstr>
      <vt:lpstr>詳細情報</vt:lpstr>
      <vt:lpstr>プロジェクトのスケジュール!Print_Titles</vt:lpstr>
      <vt:lpstr>プロジェクトのスケジュール!タスク_開始</vt:lpstr>
      <vt:lpstr>プロジェクトのスケジュール!タスク_終了</vt:lpstr>
      <vt:lpstr>プロジェクトのスケジュール!タスク_進捗状況</vt:lpstr>
      <vt:lpstr>プロジェクト_開始</vt:lpstr>
      <vt:lpstr>週_表示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2026-07-25T06:51:39Z</dcterms:modified>
</cp:coreProperties>
</file>